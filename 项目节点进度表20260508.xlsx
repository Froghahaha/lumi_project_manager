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3"/>
  </sheets>
  <calcPr calcId="0"/>
</workbook>
</file>

<file path=xl/sharedStrings.xml><?xml version="1.0" encoding="utf-8"?>
<sst xmlns="http://schemas.openxmlformats.org/spreadsheetml/2006/main" count="667" uniqueCount="667">
  <si>
    <t/>
  </si>
  <si>
    <t>项目名称</t>
  </si>
  <si>
    <t>是否正常</t>
  </si>
  <si>
    <t>项目内容</t>
  </si>
  <si>
    <t>责任人</t>
  </si>
  <si>
    <t>开始时间</t>
  </si>
  <si>
    <t>预警时间</t>
  </si>
  <si>
    <t>预计时间</t>
  </si>
  <si>
    <t>计划用时</t>
  </si>
  <si>
    <t>完结时间</t>
  </si>
  <si>
    <t>实际用时</t>
  </si>
  <si>
    <t>逾期天数</t>
  </si>
  <si>
    <t>状态</t>
  </si>
  <si>
    <t>改进措施</t>
  </si>
  <si>
    <t>美尔斯-1</t>
  </si>
  <si>
    <t>否</t>
  </si>
  <si>
    <t>4台20KG关节单元</t>
  </si>
  <si>
    <t>销售人员</t>
  </si>
  <si>
    <t>立项日期</t>
  </si>
  <si>
    <t>设计</t>
  </si>
  <si>
    <t>余皓然</t>
  </si>
  <si>
    <t>逾期</t>
  </si>
  <si>
    <t>刘伟伟</t>
  </si>
  <si>
    <t>合同天数</t>
  </si>
  <si>
    <t>生产</t>
  </si>
  <si>
    <t>周小浪</t>
  </si>
  <si>
    <t>现状：已出货1台，还有3台未发，客户期望未发的3台关节换桁架同金额出货。
3-12   与永侧为同一单位，永侧出过16台标准水泥底座，现美尓斯计划购置6台同款桁架，在永侧价格基础上加2000，合计12000作为该项目未发关节的损失。
3-31  客户对价格有疑义，还在磨
4-21  待客户确认机床即合同盖章
5-12  已与客户口头达成换机协议，待客户合同盖章回传
5-29  客户老板在出差，待回司才能确认
6-5    永册的款已结清，改单合同待老板回来
7-11   待老板回来拍板
9-19   待机床到位</t>
  </si>
  <si>
    <t>应急：1-6核算料仓成本，计算折价后可以更换</t>
  </si>
  <si>
    <t>项目经理</t>
  </si>
  <si>
    <t>预计交期</t>
  </si>
  <si>
    <t>调机派遣</t>
  </si>
  <si>
    <t>王文哲</t>
  </si>
  <si>
    <t>正常</t>
  </si>
  <si>
    <t>张胡斌</t>
  </si>
  <si>
    <t>实际交期</t>
  </si>
  <si>
    <t>验收</t>
  </si>
  <si>
    <t>/</t>
  </si>
  <si>
    <t>收款进度</t>
  </si>
  <si>
    <t>尾款</t>
  </si>
  <si>
    <t>深圳洪昕-1</t>
  </si>
  <si>
    <t>1台3D视觉关节</t>
  </si>
  <si>
    <t>程帅伟</t>
  </si>
  <si>
    <t>王祥青</t>
  </si>
  <si>
    <t>原因：待客户打款发货</t>
  </si>
  <si>
    <t>原因：展示机，目前正在转售中，或续签展示协议。
现状：3-31 目前有做终端客户的技术方案，准备把这一套转卖出去
6-12   该客户目前找不到项目转售，设备已经在现场放了1年半，3D相机品牌为跨维，成本比较高，项目是低价签售，成本还在外面。
7-14    销售和客户去沟通，可退部分款项把设备拉回来
7-18    客户还是想转售，给3个月时间，如不能转售则考虑折点价格让他们买下，实在不行再考虑退机。</t>
  </si>
  <si>
    <t>应急：1-3销售跟进处理
3-17    退金不退</t>
  </si>
  <si>
    <t>唐拼拼</t>
  </si>
  <si>
    <t>浙江昂臻-1</t>
  </si>
  <si>
    <t>2台桁架一拖一</t>
  </si>
  <si>
    <t>李枷明</t>
  </si>
  <si>
    <t>边德桃</t>
  </si>
  <si>
    <t>王航炜</t>
  </si>
  <si>
    <t>潘贻杰</t>
  </si>
  <si>
    <t>原因：物料推不到位</t>
  </si>
  <si>
    <t>现状：2-8 其中一台机取料有概率取不出来，客户拒绝付款
3-13   机床托架上的拔料爪在拔料时长杆零件与卡盘卡死，客户近期排产后去现场重调点位。
4-12   3月31日去现场调的，暂无拔不出来的情况，客户提出长零件下不去，需要天窗开口加长。现场我们有做两款夹爪，客户要求都改成其中一款夹爪。
5-16   客户毛坯种带氧化皮，修改夹持位置和二次送料程序
5-29   经确认是客户零件弯曲导致，和客户沟通做其它零件。销售在收款</t>
  </si>
  <si>
    <t>应急：等客户毛坯料到了做测试，等待测试
长效：4-12   修订《技术协议》，与客户约定兼容的零件重量、尺寸规格。</t>
  </si>
  <si>
    <t>台州瑞田-3</t>
  </si>
  <si>
    <t>李冈</t>
  </si>
  <si>
    <t>叶呈法</t>
  </si>
  <si>
    <t>原因：客户提出摆料时间短，客户产品种类多，做不起来，拒绝验收。
现状：1-8 客户设备一直未使用，现场做轴套产品，节拍过快，料盘储料不够
2-14   客户计划自己做料盘，我们配合调试后验收。
4-12   客户自己做的料盘有问题，在整改中
6-6     客户料盘未有进展
7-11   销售介入沟通，可辅助客户做料盘</t>
  </si>
  <si>
    <t>应急：1-8售后去现场验收，销售配合。再拒绝就预设锁机</t>
  </si>
  <si>
    <t>宁波国帮-1
（雪龙）</t>
  </si>
  <si>
    <t>25台桁架，
8组联线，
调试53款产品</t>
  </si>
  <si>
    <t>闫凯</t>
  </si>
  <si>
    <t>原因：项目复杂</t>
  </si>
  <si>
    <t>陈航</t>
  </si>
  <si>
    <t>原因：技术拖延</t>
  </si>
  <si>
    <t>黄勇</t>
  </si>
  <si>
    <t>原因：联线项目、调试产品数量多、铁屑缠绕导致报废率5%。
现状：最后3台机防护钣金安装，代理商给终端加装高压出水，额外赠送检测设备
1-13  销售计划先收款，预计年后验收
2-14  雪龙已经初步正常生产了，国帮派人在现场盯着，在谋求验收
4-12  国帮方面在送客户铝夹爪，我们保障输送带电机良好到月底，即可验收和付款。
5-12  计划把输送带的普通异步电机改为带变频器控制。
5-19  已更换电机、加装变频，目前运行良好，批量更换待物料齐全。
5-23  批量更换12台输送带电机
7-4   雪龙已经同意签字验收，下周四主管人员出差回来后，国帮会去签字
7-9   现在雪龙确认直接验收，他们出具验收单子，按合同走，1个月内付第三笔货款。国帮待雪龙验收后与我们验收及付款。</t>
  </si>
  <si>
    <t>应急：督促销售、售后验收收款。预计1月中旬验收。</t>
  </si>
  <si>
    <t>重庆予涵-12</t>
  </si>
  <si>
    <t>1台2D视觉关节</t>
  </si>
  <si>
    <t>代理商</t>
  </si>
  <si>
    <t>杨期德</t>
  </si>
  <si>
    <t>11-26  已更换为大双层料仓</t>
  </si>
  <si>
    <t>台州中亚-1</t>
  </si>
  <si>
    <t>1台桁架一拖一与1台桁架一拖二联线</t>
  </si>
  <si>
    <t>费义军</t>
  </si>
  <si>
    <t>原因：联线项目，设计难度大。</t>
  </si>
  <si>
    <t>原因：按期生产完成，客户整改厂区一直发货。</t>
  </si>
  <si>
    <t>李万泽</t>
  </si>
  <si>
    <t>现状：1-7零件重、夹爪重，腕部动作时驱动力不够晃动。
2-14   已经正常生产，刚调完，之前有整改过腕部，更换1比18减速机腕部，客户说使用一段时间验收
3-5     换向感应器坏了一个，已更换。
3-20   客户初步答应月底签验收单
4-12    目前正常使用，对应售后外地安装，待回来后去验收。
5-12    回转气缸偶发回转不到位的情况，售后近两天去处理
5-16    客户提供的零件中心孔偏移过大，没法做，已由项目经理协同销售去与客户沟通。
5-29    客户整改毛坯的工艺孔和尾座顶针。
7-11    项目经理、售后跟踪整改情况。
9-19    现场没有批量零件</t>
  </si>
  <si>
    <t>甘霖阀门-1</t>
  </si>
  <si>
    <t>100台桁架</t>
  </si>
  <si>
    <t>原因：陆续下发料盘</t>
  </si>
  <si>
    <t>现状：现已发货80台，尚余20台未发货</t>
  </si>
  <si>
    <t>现状：现场已调试完成40台，客户陆续排产，我们根据客户排产情况调机，目前没有加快的办法。
12-23  滚动批次性更换现场光耦有隐患的控制器，尽快验收
1-9   已分批验收45台
5-12  已陆续出料盘78套料盘，客户根据订单在生产并自行制作一些料盘，目前还有20台未出货。</t>
  </si>
  <si>
    <t>应急：已调试完成的要客户验收并付款
长效：商务合同针对大订单增加按实际调机批次来验收</t>
  </si>
  <si>
    <t>广东佳居-1</t>
  </si>
  <si>
    <t>1台桁架一拖一</t>
  </si>
  <si>
    <t>原因：客户现场未准备到位</t>
  </si>
  <si>
    <t>谭正兵</t>
  </si>
  <si>
    <t>现状：4-15  卡在外购板链机的卡料问题上，问题已解决
10-11   刘毅兵离职，转王祥青
12-5     王祥青变更为谭正东
1-6        谭正东变更为王祥青
4-20   客户承诺6月份付清尾款</t>
  </si>
  <si>
    <t>浙江东格马-11</t>
  </si>
  <si>
    <t>20台视觉桁架一拖一</t>
  </si>
  <si>
    <t>椒星传动-3</t>
  </si>
  <si>
    <t>原因：客户机床有问题，待客户处理好即发货，年前必发。
2-8  待客户打款发货，
3-6   客户购买的旋风铣机床质量问题还未解决
4-21 计划本周出货
5-29  机床还未准备就绪</t>
  </si>
  <si>
    <t>应急：12-23李冈在跟进处理</t>
  </si>
  <si>
    <t>玉环恒信-7</t>
  </si>
  <si>
    <t>亓法晖</t>
  </si>
  <si>
    <t>原因：客户观察几天再验收</t>
  </si>
  <si>
    <t>宁波国帮-3
（金兔）</t>
  </si>
  <si>
    <t>10台关节</t>
  </si>
  <si>
    <t>原因：12.16发货4台，12月20日已发齐</t>
  </si>
  <si>
    <t>夏果</t>
  </si>
  <si>
    <t>现状：2-8  遇过年，   2-15售后到位
3-28    3月1日已验收6台
4-12    售后督促验收
5-12    近期可再验收3台，还剩1台因为客户卡盘问题上料不稳定。
6-6     客户工装还未准备好
7-6     客户工艺更改导致夹持不稳，增加辅助吸盘，正在安装。
7-25   现场机器偶发识别不到的情况
1-30   余1台客户一直未准备就绪，无法调试</t>
  </si>
  <si>
    <t>1-30   已验收9台，尚有1台未验收</t>
  </si>
  <si>
    <t>玛达克-7</t>
  </si>
  <si>
    <t>4台桁架一拖一</t>
  </si>
  <si>
    <t>应急：年底收款。
长效：商务合同针对不提机的客户要有商务条例</t>
  </si>
  <si>
    <t>曾军锋</t>
  </si>
  <si>
    <t>玉环津力-1</t>
  </si>
  <si>
    <t>1台视觉2台5kg关节</t>
  </si>
  <si>
    <t>原因：任务穿插，该项目为试用机。</t>
  </si>
  <si>
    <t>原因：该案例属于首次，项目交期签的短，设计有拖延5天，有利用博拓里尼退机物料。</t>
  </si>
  <si>
    <t>汤能超</t>
  </si>
  <si>
    <t>现状：2-8  遇过年，近期调完
2-14  刚改了版程序，今天看能否正常运作
2-21  研发性项目，解决现场加工产品不平行，改进推理装置，客户更换产品。
2-28  程序整改，机械手运行速度只能开到30%，速度一块零件（异形杆类10公分长）夹持不稳，整改夹爪。
3-28   夹爪已稳定，待柳工处理视觉软件程序
5-12   输送带上加辅助定位，在20号之前搞定，20号之后柳工安排时间去现场搞算法
5-29   重新定制输送带，等物料回来
6-12   输送带已回，今天过去调试
6-21  已调试完成，客户很少用，待使用反馈
6-28  客户有不想要的意向，待确认
7-11   已调好在用，客户再看看
9-6     换底座后机器人臂展不够
9-18   整改底座完成，在最后的整理线缆工作
11-7   最后整改的护网已到现场，待装好后找客户验收</t>
  </si>
  <si>
    <t>浙江东格马-13
（乐阳）</t>
  </si>
  <si>
    <t>12台桁架一拖一</t>
  </si>
  <si>
    <t>张玉龙</t>
  </si>
  <si>
    <t>尹得权</t>
  </si>
  <si>
    <t>原因：终端客户：乐阳。客户提出料盘与得飞一致，我们分批发货时，第一批8台机料盘比得飞摆放少，客户不满，提出整改。
现状：12-18已走赠送审批，待料盘整改到位即可验收。
12-31  料盘整改完成，售后现场安排更换。</t>
  </si>
  <si>
    <t>应急：销售收款</t>
  </si>
  <si>
    <t>浙江中智鲸工-5</t>
  </si>
  <si>
    <t>孟祥宇</t>
  </si>
  <si>
    <t>台州云长-2</t>
  </si>
  <si>
    <t>韶关星田-1</t>
  </si>
  <si>
    <t>1台桁架标准A型
一拖一
震动盘</t>
  </si>
  <si>
    <t>杨振华</t>
  </si>
  <si>
    <t>原因：已调试完成正常生产，客户想再观察下</t>
  </si>
  <si>
    <t>10-11   刘毅兵离职，转王祥青
11-28   现场为标准A型桁架带震动盘的设备，由于稳定性问题设备一直闲置，尾款难收。
12-5     王祥青变更为谭正东
1-6       谭正东变更为王祥青
4-20    客户现场有2台桁架，此为第二台，使用相对稳定，待销售手上事情忙完后追尾款</t>
  </si>
  <si>
    <t>佛山中锐达-1</t>
  </si>
  <si>
    <t>1台关节一拖二</t>
  </si>
  <si>
    <t>原因：5μ零件精度，上料要求较高，
现状：在机床刀塔上加推料装置基本上解决
2-14   督促售后抓紧验收
2-21   销售协调处理
3-6     前期调试周期有一个多月，客户等不及抽走了一台机床，用一拖一的方式调试出来，客户中途另购其它家3万的桁架在用，嫌我们桁架太贵，目前只能等客户把机床配齐继续调试完或换桁架。
4-24   客户目前一拖一在做，待售后返粤后去培训和调试一拖二
8-1     客户在衡阳投资新厂，暂时没空处理此事，有购机计划
11-1   多次和客户沟通后，计划更换10KG机型做淬火工序
12-8   客户已定淬火设备，待设备到位再沟通改造事宜
3.24   出新设备整改方案</t>
  </si>
  <si>
    <t>应急：3-17  销售跟进处理。
改进：3-17  把关好出机款的比例。</t>
  </si>
  <si>
    <t>丹佛斯-2</t>
  </si>
  <si>
    <t>1台关节一拖三</t>
  </si>
  <si>
    <t>原因：现场未准备到位，客户要求1-13。</t>
  </si>
  <si>
    <t>史俭雷</t>
  </si>
  <si>
    <t>原因：1-4项目有点复杂，双料仓一拖三，年前可能调不完
现状：2-8  遇过年，近期调试完      2-10派遣售后调试 
2-28   客户找了第三方来验收我们的设备。第三方机构认为护网不合格。要求我方大改，我方销售在与客户、第三方沟通护网大改的费用问题。
3-12   网子正常做，费用问题已大体处理好
2-28   等系统对接人员下周到场
3-31   整改配件今天寄出。预计下周能完成
4-12   外接集成电箱制作中，预计下周做好
4-24   客户再次提出安全认证，防护门需做双回路策略。
4-29   问题1：客户有三款产品我们只做了一款产品的治具，客户需要我们做一款治具兼容三款产品。
问题2：客户机床有一个治具兼容两款产品，治具定位缝隙大会导致我们放料不到位。
5-16   待客户做好下料治具
5-29    设备已调试完成，客户说生产一周后验收
6-28    已生产使用，验收单卡在设备部
7-18    整改物料21号到达现场
8-1      第三方评估机构已经过了，目前待厂方的验收
8-16    待销售与设备部沟通验收</t>
  </si>
  <si>
    <t>济南科力-1</t>
  </si>
  <si>
    <t>4台关节</t>
  </si>
  <si>
    <t>原因：11.29除防护网外已上传，防护网等待客户确定尺寸</t>
  </si>
  <si>
    <t>张泽涛</t>
  </si>
  <si>
    <t>玉环恒信-8</t>
  </si>
  <si>
    <t>康衡</t>
  </si>
  <si>
    <t>现状：临近放假，安调看进度，年后收尾。
2-8  遇过年，已在调试，近期完工</t>
  </si>
  <si>
    <t>宁波奥扬-2
(海宏液压)</t>
  </si>
  <si>
    <t>现状：2-8 待打款发货</t>
  </si>
  <si>
    <t>现状：2-14 客户未准备好，等客户通知</t>
  </si>
  <si>
    <t>潘雨轩</t>
  </si>
  <si>
    <t>现状：全防护钣金，预计用时比较长</t>
  </si>
  <si>
    <t>台州云长-3</t>
  </si>
  <si>
    <t>2台桁架一拖二</t>
  </si>
  <si>
    <t>现状：2-8 遇过年，客户赶货无法停机，等通知
2-21  客户通知可以调试，今天安排人员过去</t>
  </si>
  <si>
    <t>台州统昊-4</t>
  </si>
  <si>
    <t>10台桁架一拖一</t>
  </si>
  <si>
    <t>2.8桁架已上传</t>
  </si>
  <si>
    <t>现状：等客户通知</t>
  </si>
  <si>
    <t>浙江迪艾-1</t>
  </si>
  <si>
    <t>6台桁架</t>
  </si>
  <si>
    <t>现状：3-24  客户平行两爪卡盘未确定工艺，无法设计料盘夹爪</t>
  </si>
  <si>
    <t>张震</t>
  </si>
  <si>
    <t>现状：4-18  客户未准备好，没有产品
4-24   设备已调试完成，没有产品无法生产。</t>
  </si>
  <si>
    <t>12-17  张震保留项目</t>
  </si>
  <si>
    <t>广东华煜-11</t>
  </si>
  <si>
    <t>1台关节机器人</t>
  </si>
  <si>
    <t>现状：4-16  客户的高频淬火机尾座机床厂整改预计需一周，人已撤离。
5-23   客户已准备好，待售后安排人</t>
  </si>
  <si>
    <t>10-11   刘毅兵离职，转王祥青</t>
  </si>
  <si>
    <t>宁波国帮-4
（金兔）</t>
  </si>
  <si>
    <t>6台关节</t>
  </si>
  <si>
    <t>现状：3-20  先发一台关节，4.27发3台，已发完</t>
  </si>
  <si>
    <t>现状：3-20  现场未准备到位</t>
  </si>
  <si>
    <t>现状：5-29  已调试好4台、其它两台等客户工装，人已撤离
1-30   还有2台客户一直未开始调试，客户说一起验收</t>
  </si>
  <si>
    <t>台州双联-1</t>
  </si>
  <si>
    <t>8-18  目前只做了两台，
9-18  车间2台未发，近期在搬厂</t>
  </si>
  <si>
    <t>4-6   等客户通知
11-14  客户产品外包，设备用不上，有退机意向
12-12  计划变更合同为2台，现场已发的2台改做其它零件</t>
  </si>
  <si>
    <t>宁波若西-3</t>
  </si>
  <si>
    <t>10台视觉
21台一拖一</t>
  </si>
  <si>
    <t>现状：8-16  上传料盘夹爪</t>
  </si>
  <si>
    <t>闻涛</t>
  </si>
  <si>
    <t>现状：
3-17  首批发4台
4-1    发货6台视觉
5-16   发货2台    3月24已验收
6-27   发货9台
8-13   发货2台    
9-26   发货4台
3-6     发货2台视觉</t>
  </si>
  <si>
    <t>3-24   验收2台
9-19   验收11台
11-20  验收4台
3-14    验收2台视觉桁架</t>
  </si>
  <si>
    <t>宁波喆辉-14</t>
  </si>
  <si>
    <t>6台桁架一拖一</t>
  </si>
  <si>
    <t>现状：4-18  等客户通知</t>
  </si>
  <si>
    <t>浙江苏强格-31</t>
  </si>
  <si>
    <t>170台桁架</t>
  </si>
  <si>
    <t>现状：5-6 首批48台，主体已生产完成，待料盘夹爪，预计7月出货</t>
  </si>
  <si>
    <t>现状：6-10  发货47台
8-15  发货45台
9月5日  发货51台，9月25日51台，已全部发完</t>
  </si>
  <si>
    <t>现状：6-12  需在泰国安装，待客户通知
9-9      李万泽入境，签证26年3月10日到期
9-27    杨期德入境</t>
  </si>
  <si>
    <t>11-14   已安装150台，调试完成100台
11-28   已调试完成130台
12-12   验收60台
1-24     验收30台</t>
  </si>
  <si>
    <t>东睦华晟-15</t>
  </si>
  <si>
    <t>现状：3-31   双关节打磨项目插队</t>
  </si>
  <si>
    <t>现状: 5-12 现场料盘定位柱尺寸设计过大，需重做。</t>
  </si>
  <si>
    <t>台州楚东-1</t>
  </si>
  <si>
    <t>现状：3-31  客户未及时提供零件</t>
  </si>
  <si>
    <t>现状：4-23  待客户打款</t>
  </si>
  <si>
    <t>现状：5-16  客户为机床厂，客户机床待调整，等毛坯到</t>
  </si>
  <si>
    <t>现状：5-27  已调试完成</t>
  </si>
  <si>
    <t>浙江世宝-1</t>
  </si>
  <si>
    <t>原因：3.31  下发主体</t>
  </si>
  <si>
    <t>现状：5-12  待客户打款</t>
  </si>
  <si>
    <t>汪浓健</t>
  </si>
  <si>
    <t>8-8   机床IO板故障，另一台机床客户需加尾座
8-16  一台已调试好，另一台等机床加装好尾座再调
12-5   派售后调试第二台
12-12   1.料盘做错了合同是铝合金板，现在用的是PVC板，放料的料架，定位不合理，需要改成头部端面定位，加机械手需要换卡盘卡料装置，换上去电机带不动，需要更换卡盘电机。
3-23   客户机床还未稳定生产，等通知
4-13  已调试完成，正常生产，客户诉求铝合金料盘和接油盘，待销售和客户沟通费用问题</t>
  </si>
  <si>
    <t>东睦华晟-16</t>
  </si>
  <si>
    <t>2台桁架</t>
  </si>
  <si>
    <t>原因：4.9下发主体</t>
  </si>
  <si>
    <t>现状：5-12  与-14，-15项目同步调试</t>
  </si>
  <si>
    <t>深圳博远-1</t>
  </si>
  <si>
    <t>1台桁架一拖二</t>
  </si>
  <si>
    <t>现状：5-29  待客户打款
8-1    客户塑料件，有废屑处理问题，客户在想办法解决</t>
  </si>
  <si>
    <t>谭正东</t>
  </si>
  <si>
    <t>玉环耀铭-7</t>
  </si>
  <si>
    <t>现状：5-29  待客户打款</t>
  </si>
  <si>
    <t>美汽精密-2</t>
  </si>
  <si>
    <t>1台桁架二拖二</t>
  </si>
  <si>
    <t>原因：4-30  桁架已上传</t>
  </si>
  <si>
    <t>现状：6-6    待客户打款</t>
  </si>
  <si>
    <t>现状:6-28  客户换产品，做新的夹爪中
7-4   已调试完成，待客户验收
8-16  客户暂时没零件，待观察一段时间
10-11 已继续在用，售后今天到现场观察，没问题就验收</t>
  </si>
  <si>
    <t>宁波奥扬-展示机</t>
  </si>
  <si>
    <t>1台桁架一拖一
1台关节</t>
  </si>
  <si>
    <t>原因：建伟项目设计整改，建伟项目现场跟踪调试，外加五一假期</t>
  </si>
  <si>
    <t>原因：端午假期</t>
  </si>
  <si>
    <t>宋宁宁</t>
  </si>
  <si>
    <t>洛阳子言-1</t>
  </si>
  <si>
    <t>原因：5-23  桁架已上传</t>
  </si>
  <si>
    <t>崔振</t>
  </si>
  <si>
    <t>现状：6-19  待客户打款</t>
  </si>
  <si>
    <t>现状：7-4  客户已能正常生产，小护网有干涉，需重做连接小网。
7-18    客户自购吹气配件，有赠送一套夹爪
10-11  客户正常使用，近期忙着生产，待生产完以后收尾验收
1-8      河南地区搞环评，停工停产
4-3    售后已过去验收</t>
  </si>
  <si>
    <t>4-23  销售跟进，客户承诺五一前付清款项</t>
  </si>
  <si>
    <t>浙江苏强格-32</t>
  </si>
  <si>
    <t>14台桁架一拖一</t>
  </si>
  <si>
    <t>9月5日  发货51台，9月25日51台，已全部发完</t>
  </si>
  <si>
    <t>浙江迈兴-4</t>
  </si>
  <si>
    <t>2台桁架二拖二</t>
  </si>
  <si>
    <t>现状：6-12  与-5项目叠加，中途穿插绿田整改。</t>
  </si>
  <si>
    <t>现状：7-11  待客户打款</t>
  </si>
  <si>
    <t>现状：7-25  客户有两台机做同一序的诉求，软件需开发
9-19    客户赶货，断断续续调试
10-19  已调试完成1组，另一组客户人工在做赶货
10-24  售后现场加装铁屑刮板，看铁屑效果
11-7    客户在找机床厂加高压出水
1-16    已调试好1台，客户在看去铁屑运行效果</t>
  </si>
  <si>
    <t>浙江迈兴-5</t>
  </si>
  <si>
    <t>1台关节</t>
  </si>
  <si>
    <t>现状：6-12  与-4项目叠加，中途穿插绿田整改。</t>
  </si>
  <si>
    <t>7-25   已调试完成，待验收</t>
  </si>
  <si>
    <t>玉环联杰-5</t>
  </si>
  <si>
    <t>现状：7-4  现场已装好未调试，客户机床未准备好，</t>
  </si>
  <si>
    <t>玛达克-8</t>
  </si>
  <si>
    <t>9台桁架一拖一</t>
  </si>
  <si>
    <t>现状：6-23   客户才提供零件</t>
  </si>
  <si>
    <t>现状：7-18  桁架已架好，客户未准备好卡盘
9-12   今天调试完成</t>
  </si>
  <si>
    <t>浙江邦磊-1</t>
  </si>
  <si>
    <t>现状：6-23  桁架已上传</t>
  </si>
  <si>
    <t xml:space="preserve">8-1   客户现场桁架影响机床精度，改成落地式，验证后再出机
10-15  发货1组，还剩1组  </t>
  </si>
  <si>
    <t>10-24  已调试完成，人已撤离，现场客户叫机床厂加装中心出水
11-28   客户在解决铁屑问题
3-6      整改推料装置
3-27    客户在解决铁屑问题</t>
  </si>
  <si>
    <t>浙江通宇-2</t>
  </si>
  <si>
    <t>原因：6-19  桁架已上传</t>
  </si>
  <si>
    <t>韩辉</t>
  </si>
  <si>
    <t>谭政</t>
  </si>
  <si>
    <t>8-22  客户电未就绪
9-19  客户改的卡盘过于突出，尾座行程过短，导致零件无法用机械手正常取出，现场需整改。
10-11  尾座需改自动</t>
  </si>
  <si>
    <t>浙江东格马-15
（津力）</t>
  </si>
  <si>
    <t>18台智眼桁架一拖一</t>
  </si>
  <si>
    <t>8-1     客户中途有没装卡盘和刀具
8-16   客户装卡片、刀具磨叽
8-29   其中有2台安装底座调节行程用完，需更换底座
9-12   还剩最后一台
9-19   客户提出新18台的相机轴与原有的相机轴有差异，老机单排摆料数量6个，新机5个。
9-26   已调试完成，待签验收单</t>
  </si>
  <si>
    <t>重庆智擎-3</t>
  </si>
  <si>
    <t>8-1     已调试完成， 一台示教器黑屏，装在另外一台又好了
8-15   经检测是电源输出问题
8-29    已正常使用中，客户在成都，距离远，代理商表示他来签验收单。</t>
  </si>
  <si>
    <t>宁波隆源-1</t>
  </si>
  <si>
    <t>1台桁架二拖四</t>
  </si>
  <si>
    <t>现状：7-24  桁架已上传</t>
  </si>
  <si>
    <t>9-9   取物料时夹爪与料盘定位柱干涉，重做夹爪。接油盘与天窗气缸干涉，需抬高接油盘，重做接油盘支架，换向机构需减重，拖链滚轮改滚筒。
9-26  已调试完成，正常做生产，客户表示生产一个月后验收
10-10  定位工装会擦伤零件，需调整定位的材质
11-1    整改已完成，现场正常在做</t>
  </si>
  <si>
    <t>山西东睦-17</t>
  </si>
  <si>
    <t>1台10KG关节</t>
  </si>
  <si>
    <t>8-29   程序有问题，黄工浇铸程序没时间，现已改好，正常在做。
9-6     已调试完成，待客户验收
11-1   待新机到货启用六维力功能，顺便验收
12-12  已调试完成，客户最近没料，待正常生活后验收
1-16    客户一直没料</t>
  </si>
  <si>
    <t>东睦新材料-7</t>
  </si>
  <si>
    <t>1台桁架一拖二加顶升机</t>
  </si>
  <si>
    <t>现状：负责顶升机</t>
  </si>
  <si>
    <t>现状：负责桁架</t>
  </si>
  <si>
    <t>8-29   待顶升机做好</t>
  </si>
  <si>
    <t>欧阳林</t>
  </si>
  <si>
    <t>9-12   项目有检测设备，检测设备还未到货
9-26    已调试完成，待签验收单</t>
  </si>
  <si>
    <t>瓴先科技-1</t>
  </si>
  <si>
    <t>8-16  6台已调试完成，4台没有零件</t>
  </si>
  <si>
    <t>贵州航钰-1</t>
  </si>
  <si>
    <t>9-12   待客户打款</t>
  </si>
  <si>
    <t>11-1   待客户通知</t>
  </si>
  <si>
    <t>3-13  已调试完成，客户验收环节比较复杂
3-20  震动盘出料口无法区分料的长短，需整改</t>
  </si>
  <si>
    <t>宁波若西-4</t>
  </si>
  <si>
    <t>3台桁架一拖一</t>
  </si>
  <si>
    <t>9-26   客户机器在二楼，没有叉车，待公司的龙门架到货</t>
  </si>
  <si>
    <t>10-11  现场机床与当初客户提供模型不一致，导致天窗装不上，现在项目经理在与销售在沟通是换机床和整改天窗
11-1    现场机床还有2台工装夹具未准备好</t>
  </si>
  <si>
    <t>宁波隆源-2</t>
  </si>
  <si>
    <t>1台协作关节</t>
  </si>
  <si>
    <t xml:space="preserve"> 陈航</t>
  </si>
  <si>
    <t>9-12   客户机床刚到，机械上可能有干涉，关节控制柜还在做第二版</t>
  </si>
  <si>
    <t>12-12  未收到客户调机要求
1-16     计划26日去调试</t>
  </si>
  <si>
    <t>2-5   已调试完成，生产观察中</t>
  </si>
  <si>
    <t>宁波正元-1</t>
  </si>
  <si>
    <t>1台桁架一拖二
带多层料仓</t>
  </si>
  <si>
    <t>9-17   项目积压，预计本周下发
9-22   桁架已上传</t>
  </si>
  <si>
    <t>10-23  待客户打款，计划月底</t>
  </si>
  <si>
    <t>11-21  客户卡盘未到位
12-12   在奥杨场地已调试完成，待验收，还需转发至正元厂区
1-15     货已发正元厂区，售后17日去调
1-23    待客户机床试好，钣金安装好即可验收
1-30    调试完成，待签验收单</t>
  </si>
  <si>
    <t>河南攀鸿-22</t>
  </si>
  <si>
    <t>1台重型桁架一拖二</t>
  </si>
  <si>
    <t>8-28  因与安徽天裕-1项目穿插逾期</t>
  </si>
  <si>
    <t>10-11 待客户打款</t>
  </si>
  <si>
    <t>10-24   重载桁架夹持零件后与平轨机床的导轨干涉。
11-1     已经能正常生产，客户要求6款产品
11-7     已调试完成，客户现场提出6款零件，无法完全兼容。现场差个整改配件。
1-9   已调试完成，待验收</t>
  </si>
  <si>
    <t>宁波津一-4</t>
  </si>
  <si>
    <t>10-11  与-5项目一起调试
10-19  系统对接时把机床线路板烧坏，在维修
11-1    现场需加装定位工装
11-7    定位工装明天到现场
12-26  已调试完成，待客户稳定生产一段时间验收</t>
  </si>
  <si>
    <t>宁波津一-5</t>
  </si>
  <si>
    <t>欧阳威</t>
  </si>
  <si>
    <t>9-26   上三轴桁架，双主轴机床，碰到国庆放假
10-19  与-4,-6项目一起调试
10-24  已经调试完，待验收</t>
  </si>
  <si>
    <t>中智鲸工-6</t>
  </si>
  <si>
    <t>涂志鹏</t>
  </si>
  <si>
    <t>9-19   新人转正项目，终端用户对料盘不满意
10-11  中智掏钱给终端用户整改料盘</t>
  </si>
  <si>
    <t>安徽天裕-1</t>
  </si>
  <si>
    <t>5台桁架一拖一
2套双关节2D视觉</t>
  </si>
  <si>
    <t>9-17   发货5台桁架</t>
  </si>
  <si>
    <t>9-26   计划国庆后出货
10-11  客户来厂验收后才出货</t>
  </si>
  <si>
    <t>10-11  节前搞好4台桁架，有一台客户未准备好，要节后才能调
10-24   关节到货。计划用时顺延</t>
  </si>
  <si>
    <t>12-22   桁架顶料没标定好，推料不到位，关节2D视觉识别程序需完善</t>
  </si>
  <si>
    <t>浙江滨海-1</t>
  </si>
  <si>
    <t>3台桁架一拖二
顶升机</t>
  </si>
  <si>
    <t>9-12  客户变更机床，等待客户确认机床
9-22  顶升机及桁架已上传
10-13  夹爪上传</t>
  </si>
  <si>
    <t>10-19  设计下发延期，全防护钣金周期长
10-24  待客户打款</t>
  </si>
  <si>
    <t>11-14   全防护钣金很难装</t>
  </si>
  <si>
    <t>宁波宇恒-2</t>
  </si>
  <si>
    <t>4台桁架二拖三</t>
  </si>
  <si>
    <t>10-11  计划先发宁波调试，再转发马来西亚，具体发货等通知
11-8    明天装箱待发货
11-11  直发马来西亚</t>
  </si>
  <si>
    <t>11-21  待客户通知
11-28  计划12月1日派遣杨期德，周后意后续过去，限时30天内解决</t>
  </si>
  <si>
    <t>1-8   调试人员已于12月31日回国，待英文程序搞好再过去培训</t>
  </si>
  <si>
    <t>建德新安江-1</t>
  </si>
  <si>
    <t xml:space="preserve">张震 </t>
  </si>
  <si>
    <t>10-11  客户在搞新厂房，不急发货。
10-19   预计12月份发货</t>
  </si>
  <si>
    <t>4-3  已调试完成，待验收</t>
  </si>
  <si>
    <t>安徽瑞泰-3</t>
  </si>
  <si>
    <t>13台桁架一拖一</t>
  </si>
  <si>
    <t>12-21  验收后面10台</t>
  </si>
  <si>
    <t>山西东睦-18</t>
  </si>
  <si>
    <t>9-19  桁架已上传</t>
  </si>
  <si>
    <t>10-11 遇国庆放假</t>
  </si>
  <si>
    <t>宁波甬东-1</t>
  </si>
  <si>
    <t>9-18  加急项目，需按期交付
9-30  桁架已上传</t>
  </si>
  <si>
    <t>11-14  等款发货</t>
  </si>
  <si>
    <t>1-30  等客户通知</t>
  </si>
  <si>
    <t>5-8   已调试完成，防护网有整改</t>
  </si>
  <si>
    <t>台州波格-6</t>
  </si>
  <si>
    <t>10-19  等款发货</t>
  </si>
  <si>
    <t>11-7   带新人一起调试
11-14  已调试完成，待验收</t>
  </si>
  <si>
    <t>山西东睦-19</t>
  </si>
  <si>
    <t>10-10  碰国庆假期，顺延</t>
  </si>
  <si>
    <t>10-24  等款发货</t>
  </si>
  <si>
    <t>11-21  已调试完成，待验收</t>
  </si>
  <si>
    <t>宁波津一-6</t>
  </si>
  <si>
    <t>10-19  与-4，-5项目一起调试
10-24  客户对节拍有要求，在与客户沟通节拍问题
11-7     节拍问题已沟通好，正常在做，待验收单</t>
  </si>
  <si>
    <t>浙江德明-1</t>
  </si>
  <si>
    <t>10-23  项目积压</t>
  </si>
  <si>
    <t>11-27  机床尺寸量错，腕部与天窗干涉。
12-5     已调试好2台，其余4台客户未准备好</t>
  </si>
  <si>
    <t>宜兴博诺-2</t>
  </si>
  <si>
    <t>11-7  等款发货</t>
  </si>
  <si>
    <t>玉环耀铭-8</t>
  </si>
  <si>
    <t>11-21   该客户采取维修弹性调试的方式，客户准备好一台就调一台
12-20  客户不着急</t>
  </si>
  <si>
    <t>芜湖东易-1</t>
  </si>
  <si>
    <t>10-24  项目积压</t>
  </si>
  <si>
    <t>11-7   等客户通知</t>
  </si>
  <si>
    <t>11-28  已调试完成，东大的项目签验收单慢</t>
  </si>
  <si>
    <t>宁波豪海-12</t>
  </si>
  <si>
    <t>11-14  项目积压排队</t>
  </si>
  <si>
    <t>12-5   已调试完成，待验收</t>
  </si>
  <si>
    <t>山西东睦-20</t>
  </si>
  <si>
    <t>6台桁架一拖一
顶升机</t>
  </si>
  <si>
    <t>11-21  等款发货</t>
  </si>
  <si>
    <t>宁波嘉川-3</t>
  </si>
  <si>
    <t>11-28  已调试完成，待验收</t>
  </si>
  <si>
    <t>天信仪表-1</t>
  </si>
  <si>
    <t>1台关节一拖一</t>
  </si>
  <si>
    <t>11-3  预计延期至11月8日上传</t>
  </si>
  <si>
    <t>陈帅</t>
  </si>
  <si>
    <t>11-28  待客户打款</t>
  </si>
  <si>
    <t>12-20  已调试完成，防护网缺块钣金</t>
  </si>
  <si>
    <t>江苏雷鸣-1</t>
  </si>
  <si>
    <t>3台桁架一拖一
2台桁架一拖二</t>
  </si>
  <si>
    <t>11-13  桁架主体已上传
11-19  料盘夹爪已上传</t>
  </si>
  <si>
    <t>12-8  客户未准备好</t>
  </si>
  <si>
    <t>12-26  客户部分机床未就绪
3-27    客户诉求一条输送带
4-17   已安调完成，待验收</t>
  </si>
  <si>
    <t>芜湖宏本-1</t>
  </si>
  <si>
    <t>11-13  桁架主体已上传
11-18  料盘夹爪已上传</t>
  </si>
  <si>
    <t>12-20  已调试完成，待客户验收</t>
  </si>
  <si>
    <t>温岭利达-1</t>
  </si>
  <si>
    <t>1台10KG关节一拖一</t>
  </si>
  <si>
    <t>12-12   待客户转发终端后再调试</t>
  </si>
  <si>
    <t>12-26   客户卡盘还未就绪
1-20    终端退了该代理商的机，此项目有可能尾款出问题</t>
  </si>
  <si>
    <t xml:space="preserve">浙江高阳-2 </t>
  </si>
  <si>
    <t>2台桁架一拖一
带震动盘</t>
  </si>
  <si>
    <t>12-19  等款发货
4-24    短横梁结构，不好转售</t>
  </si>
  <si>
    <t>深圳钜正-5</t>
  </si>
  <si>
    <t>12-15  现场机床顶部布局复杂，有气缸、灯具配件，天窗开口需调整
1-8    已调试完成，待验收</t>
  </si>
  <si>
    <t>安徽维多利-1</t>
  </si>
  <si>
    <t>1-3  等款发函</t>
  </si>
  <si>
    <t>宁波奥扬-5</t>
  </si>
  <si>
    <t>12-17  桁架主体已上传
1-13  料盘夹爪已上传</t>
  </si>
  <si>
    <t>1-16   设备已做好，零件确认慢，料盘夹爪晚了
1-30   年后发货</t>
  </si>
  <si>
    <t>3-13   客户未准备就绪</t>
  </si>
  <si>
    <t>3-27   客户机床未就绪，中途撤离
4-10   客户磨床的工艺达不到要求，在调整
4-10   夹爪设计有问题，平行两爪设计有问题，重做夹爪
4-25   已调试完成，客户的磨床有问题，拖累我们设备验收</t>
  </si>
  <si>
    <t>深圳神州-1</t>
  </si>
  <si>
    <t>12-31  待客户通知</t>
  </si>
  <si>
    <t>周后意</t>
  </si>
  <si>
    <t>1-8  已调试完成，待验收</t>
  </si>
  <si>
    <t>浙江英腾-2</t>
  </si>
  <si>
    <t>12-26  夹爪已上传</t>
  </si>
  <si>
    <t>1-23  等款发货
1-20  年后发货</t>
  </si>
  <si>
    <t>3-13   机床厂客户，场内预装后还须转发山东终端客户
4-14  桁架部分基本没问题，外协部分未复合技术要求正在整改
4-25   还在客户厂区，未到终端现场</t>
  </si>
  <si>
    <t>重庆智擎-7</t>
  </si>
  <si>
    <t>2台智眼桁架一拖二</t>
  </si>
  <si>
    <t>1-9   等款发货</t>
  </si>
  <si>
    <t>1-16   中途穿插维修任务
1-23   已调试完成，待验收</t>
  </si>
  <si>
    <t>宁波优佳-3</t>
  </si>
  <si>
    <t>12-29   客户确认零件较慢，迄今才确认2款</t>
  </si>
  <si>
    <t>1-23   客户机床未就绪，安调进度缓慢</t>
  </si>
  <si>
    <t>台州金龙-1</t>
  </si>
  <si>
    <t>12-29   待客户确认工艺
1-14  料盘夹爪上传</t>
  </si>
  <si>
    <t>1-16  客户需在我厂试机
1-30  款到等通知发货</t>
  </si>
  <si>
    <t>2-27  遇过年</t>
  </si>
  <si>
    <t>2-27   与-2项目1台关节一起调试
3-13   已调试好1台，其余3台客户未就绪
4-3    已调试完成，待验收，客户有挪机的可能</t>
  </si>
  <si>
    <t>江苏承中和-3</t>
  </si>
  <si>
    <t>1-7  夹爪上传</t>
  </si>
  <si>
    <t>1-30  等款发货</t>
  </si>
  <si>
    <t>刘汉星</t>
  </si>
  <si>
    <t>3-20  穿插了维修，近两天可验收</t>
  </si>
  <si>
    <t>浙江展鹏-1</t>
  </si>
  <si>
    <t>1台桁架一拖一
3台桁架一拖二</t>
  </si>
  <si>
    <t>1-2  项目内容较多，预计28号下发，已和客户沟通好跨年后交付</t>
  </si>
  <si>
    <t>1-30  预计3月份交货，有颜色要求
3-20  先发货1台一拖一，1台一拖二，尚余2台一拖二等通知生产</t>
  </si>
  <si>
    <t>4-3    多层料仓有问题，在整改，供应商4-2到了现场
4-17  已调试完成，待验收</t>
  </si>
  <si>
    <t>阳春重源-3</t>
  </si>
  <si>
    <t>2台上三轴桁架一拖一</t>
  </si>
  <si>
    <t>1-20  等款发货</t>
  </si>
  <si>
    <t>1-27  现场问题：1、客户的机床过旧，机床厂家已倒闭，系统对接困难；2、客户自制输送带缺乏信号反馈接口；3、客户要求我方额外做钣金。
4-10  护网根据客户要求整改
4-25  已调试完成，待验收</t>
  </si>
  <si>
    <t>浙江德明-2</t>
  </si>
  <si>
    <t>4台桁架一拖一
2台智眼桁架一拖一</t>
  </si>
  <si>
    <t>1-8  桁架主体已上传
1-9  料盘夹爪已上传</t>
  </si>
  <si>
    <t>3-13   客户提出更改工序，人员已撤回
3-27    在整改物料
4-3    推料装置不合适，重做</t>
  </si>
  <si>
    <t>广州冠捷-3</t>
  </si>
  <si>
    <t>1-4   济南武创11插队
1-16  料盘夹爪已上传</t>
  </si>
  <si>
    <t>1-16  技术协议确认晚了
1-23  等款发货</t>
  </si>
  <si>
    <t>3-23 客户搬厂房时间耽搁，并且配捷甬达机床天窗设计错误正在整改
3-27  已调试完成，待验收</t>
  </si>
  <si>
    <t>玉环比得宝-4</t>
  </si>
  <si>
    <t>1-30  已调试完，在培训</t>
  </si>
  <si>
    <t>重庆智擎-8</t>
  </si>
  <si>
    <t>3台智眼桁架一拖一</t>
  </si>
  <si>
    <t>1-4  夹爪已上传</t>
  </si>
  <si>
    <t>1-30   已调试完成，待验收</t>
  </si>
  <si>
    <t>济南武创-10</t>
  </si>
  <si>
    <t>1-16  A/B已下发生产（三款料盘，一款夹爪）
1-26  下发C一款料盘</t>
  </si>
  <si>
    <t>12-29  先做2台，分批交货
1-20    发货3台，余7台
3-27    已生产2台待发
4-3    发货2台，余5台未交</t>
  </si>
  <si>
    <t>1-25  此批次3台设备分两个地方调试
2-2    已发货3台已验收
4-25  2台已调试完成，待验收，余5台未发货未验收</t>
  </si>
  <si>
    <t>广州特顺-1</t>
  </si>
  <si>
    <t>1-23 等款发货
4-24  预计7月份提货</t>
  </si>
  <si>
    <t>济南武创-11</t>
  </si>
  <si>
    <t>1台重载桁架一拖一</t>
  </si>
  <si>
    <t>负责顶升机、板链机</t>
  </si>
  <si>
    <t>2-27   翼志电机竖装易进水，需加装接水盒，换向夹爪需整改，板链机钣金需整改
3-13   已调试完成，待验收</t>
  </si>
  <si>
    <t>芜湖宏本-2</t>
  </si>
  <si>
    <t>3台桁架一拖二</t>
  </si>
  <si>
    <t>1-23  年前先做一台，年后做2台，1台已完成，等款发货
1-26  已发一台，余2台年后生产</t>
  </si>
  <si>
    <t>2-5  已调试完成，待验收</t>
  </si>
  <si>
    <t>余姚凯达-1</t>
  </si>
  <si>
    <t>1-17  宁波若西-5插队</t>
  </si>
  <si>
    <t>3-13  待客户通知</t>
  </si>
  <si>
    <t>4-17  2台已调试完成，剩2台客户还未排产品
4-11   已验收2台（尚余2台）</t>
  </si>
  <si>
    <t>河南攀鸿-21
（新程轴业）</t>
  </si>
  <si>
    <t>现状：3-20   客户未准备好</t>
  </si>
  <si>
    <t>现状：4-12  客户在整改卡盘，人已撤走在附近调机，客户不急。
4-26   客户拿的零件无法生产，等客户换产品
5-23   待客户梯图改好。
6-12   客户老车床，主动同心度精度下降，人工重复夹卡盘5丝，机械手15丝以上，现在改关节程序，模仿人工快速装夹卡盘。
6-21   客户机床过老，同心度还是有问题，推料装置加橡胶垫块
7-11    待客户试验机床精度，客户不着急。
8-18    客户改卡盘夹爪后同心度精度上升，机械手上料还是比人工差，改进推料装置，客户增长卡盘夹爪，提高夹持距离。
10-19  终端客户不太配合，希望退机给攀鸿
1-4     通过网络与公司沟通，要求解决问题，已立项解决，目前3个解决方向，客户重新按照手动生产的尺寸做卡盘，我方提供吹气装置把卡盘夹持持位置和1序成品吹干净，以保障产品稳定性
1-23   改造物料已到位，待售后上门，期间受河南环评影响
1-30   年后再实施
2-27   售后张泽涛在现场整改
3-13   已整改好，待客户更换新产品做了后再验收，预计用时2个月</t>
  </si>
  <si>
    <t>台州金龙-2</t>
  </si>
  <si>
    <t>2-5   年后调试</t>
  </si>
  <si>
    <t>2-27  与-1项目4台桁架一起调试
3-13   此项目等机床回来才能调试</t>
  </si>
  <si>
    <t>宁波若西-5</t>
  </si>
  <si>
    <t>11台桁架一拖一</t>
  </si>
  <si>
    <t>1-6  桁架主体已上传
1-12  料盘夹爪已上传</t>
  </si>
  <si>
    <t>1-16  等款发货
1-17  发货4台，余7台
3-5    发货6台，余1台</t>
  </si>
  <si>
    <t>1-23     验收2台
3-20    已调试完成，待验收
3-18    验收2台
3-27    验收6台，余1台未发货</t>
  </si>
  <si>
    <t>台州京创-3</t>
  </si>
  <si>
    <t>2-5  年后调试</t>
  </si>
  <si>
    <t>3-13   已调试完成，待验收</t>
  </si>
  <si>
    <t xml:space="preserve">浙江迈兴-6 </t>
  </si>
  <si>
    <t>1-17  料盘夹爪已下发</t>
  </si>
  <si>
    <t>1-30  等款发货，已在西格马车间调试</t>
  </si>
  <si>
    <t>3-6   遇过年，等客户通知</t>
  </si>
  <si>
    <t>佛山亚士丹德-1</t>
  </si>
  <si>
    <t>3-10  多项目同时调试</t>
  </si>
  <si>
    <t>江苏西格马-12</t>
  </si>
  <si>
    <t>1台桁架二拖二
带板链机+输送带</t>
  </si>
  <si>
    <t>2-28  桁架主体已上传
3-5  夹爪已上传</t>
  </si>
  <si>
    <t>负责板链机、输送带</t>
  </si>
  <si>
    <t>3-20  等款发货</t>
  </si>
  <si>
    <t>4-10   换向装置整改，人员撤离</t>
  </si>
  <si>
    <t>津一油泵-7</t>
  </si>
  <si>
    <t>4台桁架一拖二</t>
  </si>
  <si>
    <t>3-13  等款发货</t>
  </si>
  <si>
    <t>4-10  整改天窗
4-25  机器已架好，客户具体做什么产品未定</t>
  </si>
  <si>
    <t>福建艾格法-7</t>
  </si>
  <si>
    <t>2-27  遇过年，已在生产
3-6    等款发货</t>
  </si>
  <si>
    <t>3-27  已调试完成，待验收</t>
  </si>
  <si>
    <t>玉环通汇-6</t>
  </si>
  <si>
    <t>16台桁架一拖一</t>
  </si>
  <si>
    <t>2-27  设计由涂志鹏转为余皓然
3-2    桁架预计9号完成，料盘夹爪预计12号完成
3-5    桁架已上传
3-12  料盘夹爪已上传</t>
  </si>
  <si>
    <t>4-10  已调试好6台，其余客户机床未就绪
4-25  已调好11台，尚余5台未调试</t>
  </si>
  <si>
    <t>温州合盛-1</t>
  </si>
  <si>
    <t>2-26  设计由闫凯转为程帅伟
3-5  计划延期至3月12日</t>
  </si>
  <si>
    <t>4-10  等款发货</t>
  </si>
  <si>
    <t>4-30   约定节后调试</t>
  </si>
  <si>
    <t>玉环鸿泽-2</t>
  </si>
  <si>
    <t>3-2  桁架主体已上传
3-6  料盘夹爪已上传</t>
  </si>
  <si>
    <t>3-20  已调试完成，待验收</t>
  </si>
  <si>
    <t>宁波若西-6</t>
  </si>
  <si>
    <t>3-3  料盘夹爪共12套还剩八套（零件待确定）
3-17  料盘夹爪已下发的生产</t>
  </si>
  <si>
    <t>3-20  发货2台一体式桁架，余10台水泥底座桁架
4-      发货4台</t>
  </si>
  <si>
    <t>4-20  2台已验收，余10台未出货
4-23  验收4台，余6台</t>
  </si>
  <si>
    <t>安徽中麦亚-1</t>
  </si>
  <si>
    <t>2台关节一拖二</t>
  </si>
  <si>
    <t>3-5  确认机床尺寸</t>
  </si>
  <si>
    <t>3-30  等款发货</t>
  </si>
  <si>
    <t>4-10  等客户通知</t>
  </si>
  <si>
    <t>4-25  整改料盘</t>
  </si>
  <si>
    <t>浙江创诚-1</t>
  </si>
  <si>
    <t>2台视觉桁架一拖一</t>
  </si>
  <si>
    <t>3-8  气密检测装置中途更换供应商</t>
  </si>
  <si>
    <t>3-27  等款发货</t>
  </si>
  <si>
    <t>4-16   输送带错发到长沙，换向装置项目经理忘记和设计人员说，漏设计。气密装置供应商做错，还需要个桌子。
4-25  气密检测探头不好安装，虽已验收，但还是存在气密检测问题</t>
  </si>
  <si>
    <t>济南武创-12</t>
  </si>
  <si>
    <t>1台智眼桁架一拖一
带顶升机</t>
  </si>
  <si>
    <t>4-20  等客户通知</t>
  </si>
  <si>
    <t>5-7   现场碰到220V接24V电烧毁调速器、模块，后续寄的模块缺乏标识和刷程序，连寄三次均不符合现场使用。</t>
  </si>
  <si>
    <t>济南武创-13</t>
  </si>
  <si>
    <t>3台桁架二拖二
带顶升机</t>
  </si>
  <si>
    <t>3-20   遇高松紧急项目插队 预计3月25日完成</t>
  </si>
  <si>
    <t>天津菲佳祥-1</t>
  </si>
  <si>
    <t>3-13  设计换人涂志鹏转闫凯</t>
  </si>
  <si>
    <t>4-10  出口马来西亚，等通知如何包装</t>
  </si>
  <si>
    <t>长沙洪运-1</t>
  </si>
  <si>
    <t>2台桁架一拖二
带打标机</t>
  </si>
  <si>
    <t>3-11  技术协议才给，客户零件未到</t>
  </si>
  <si>
    <t>杭州矢玉-1</t>
  </si>
  <si>
    <t>3-31  Z、Y轴单导轨、料仓双伺服的全新型桁架
4-16  桁架主体已上传</t>
  </si>
  <si>
    <t>4-24  生产碰到结构性生产难题</t>
  </si>
  <si>
    <t>芜湖大中-2</t>
  </si>
  <si>
    <t>山西东睦-21</t>
  </si>
  <si>
    <t>3-20  桁架主体已上传
3-25  料盘夹爪已上传</t>
  </si>
  <si>
    <t>4-3  等款发货</t>
  </si>
  <si>
    <t>4-17  与-22项目一起调试</t>
  </si>
  <si>
    <t>山西东睦-22</t>
  </si>
  <si>
    <t>4-17  与-21项目一起调试</t>
  </si>
  <si>
    <t>佛山亚士丹德-2</t>
  </si>
  <si>
    <t>3-18  桁架主体已上传
3-20  料盘夹爪已上传</t>
  </si>
  <si>
    <t>4-3  3月21日才收到合同，已生产完成，等款发货</t>
  </si>
  <si>
    <t>江苏西格马-15</t>
  </si>
  <si>
    <t>3-13  设计换人涂志鹏转李枷明</t>
  </si>
  <si>
    <t>4-30  约定节后调试</t>
  </si>
  <si>
    <t>安徽昱鑫-3</t>
  </si>
  <si>
    <t>2台视觉桁架一拖一 
2台重力浇铸机械手</t>
  </si>
  <si>
    <t>3-13  负责桁架机械手</t>
  </si>
  <si>
    <t>方凡</t>
  </si>
  <si>
    <t>3-13  负责重力浇铸机械手
3-28  底座、腕部、风箱已下发
4-16  外侧安全护网已下发</t>
  </si>
  <si>
    <t>4-10  等款发货
4-21  先发重力浇铸机械手的组件，余2太桁架未发</t>
  </si>
  <si>
    <t>4-25  先调试重力浇筑机械手</t>
  </si>
  <si>
    <t>苏州恒工-1</t>
  </si>
  <si>
    <t xml:space="preserve">4台桁架一拖一
6台桁架一拖二 </t>
  </si>
  <si>
    <t>3-19  零件确认慢了
3-23  桁架主体已上传
4-21  料盘夹爪已上传</t>
  </si>
  <si>
    <t>4-10  主体生产完成，销售未提供产品，缺料盘夹爪
4-17   款已打，等通知发货
4-24   料盘850，4月15日零件才确认
5-8     款已到，等通知发货</t>
  </si>
  <si>
    <t>丹佛斯-3</t>
  </si>
  <si>
    <t>8台视觉桁架一拖一 
全防护钣金</t>
  </si>
  <si>
    <t>3-25  电箱待确认</t>
  </si>
  <si>
    <t>4-10  客户指名YYC齿轮齿条，采购周期长</t>
  </si>
  <si>
    <t>4-25  老机床，马扎克定制的三菱系统，比较复杂，刚好好系统。
护网需重做，预计10天，系统箱位置整改，安全电箱位置整改，气动箱位置整改。
5-8    客户比较难缠，委托第三方欧姆龙验收，整改钣金还未到</t>
  </si>
  <si>
    <t>福建艾格法-8</t>
  </si>
  <si>
    <t>3-24  桁架主体已上传</t>
  </si>
  <si>
    <t>4-3   已生产完成，等款
4-17  机床刚到厂，需厂内调试好才发货</t>
  </si>
  <si>
    <t>4-25  等客户通知</t>
  </si>
  <si>
    <t>5-8  已调试完成，待验收</t>
  </si>
  <si>
    <t>温州聚星-2</t>
  </si>
  <si>
    <t>4-17  等款发货</t>
  </si>
  <si>
    <t>新圩冠勋-1</t>
  </si>
  <si>
    <t>5-8   已调试完成，待验收单回司</t>
  </si>
  <si>
    <t>宁波宇恒-3</t>
  </si>
  <si>
    <t>18台桁架二拖三
4台桁架一拖二</t>
  </si>
  <si>
    <t>4-7  二拖三桁架已上传
4-24  零件和数量销售未客户确认好</t>
  </si>
  <si>
    <t>5-8   客户提出码垛机整改需求</t>
  </si>
  <si>
    <t>台州锐龙-1</t>
  </si>
  <si>
    <t>18台桁架一拖一
带提升机</t>
  </si>
  <si>
    <t>4-15  因玉环网络及搬厂影响，预计延期至4月18日
4-18  料盘夹爪因客户吸塑盒没有提供，先暂停</t>
  </si>
  <si>
    <t>华骏环保-2</t>
  </si>
  <si>
    <t>李增浩</t>
  </si>
  <si>
    <t>4-25  项目排队调试，人手不够，预计五一后</t>
  </si>
  <si>
    <t>玉环津力-2</t>
  </si>
  <si>
    <t>10台关节二拖二</t>
  </si>
  <si>
    <t>宁波喆辉-15</t>
  </si>
  <si>
    <t>4-7  待确认布局</t>
  </si>
  <si>
    <t>4-15  等款发货</t>
  </si>
  <si>
    <t>东莞菁华-3</t>
  </si>
  <si>
    <t>5-8  等款发货</t>
  </si>
  <si>
    <t>台州波格-7</t>
  </si>
  <si>
    <t>4-15  客户不要料盘夹爪</t>
  </si>
  <si>
    <t>台州昂浦-1</t>
  </si>
  <si>
    <t>4-15  桁架已上传
4-24  料盘夹爪已上传</t>
  </si>
  <si>
    <t xml:space="preserve">玉环永达-3 </t>
  </si>
  <si>
    <t>3-20  桁架已上传
4-8  设计人员当时按董总要求先行设计，后补任务下派</t>
  </si>
  <si>
    <t>4-17  客户未准备好</t>
  </si>
  <si>
    <t>4-25  客户是分批就绪机床，分批调试，公司附近</t>
  </si>
  <si>
    <t>浙江赛克思-1</t>
  </si>
  <si>
    <t>4-20  项目积压，预计4月24日完成
4-24  有颜色要求，全防护钣金</t>
  </si>
  <si>
    <t>5-8  设计逾期导致</t>
  </si>
  <si>
    <t>台州莫兹利-2</t>
  </si>
  <si>
    <t>广州众诚-8</t>
  </si>
  <si>
    <t>杭州建明-2</t>
  </si>
  <si>
    <t>4-23  桁架主体已上传</t>
  </si>
  <si>
    <t>深圳钜正-6</t>
  </si>
  <si>
    <t>5台桁架一拖一</t>
  </si>
  <si>
    <t>同心传动-1</t>
  </si>
  <si>
    <t>4-17  设计换人，闫凯转李枷明
4-22  桁架主体已上传</t>
  </si>
  <si>
    <t>宁波翌思-9</t>
  </si>
  <si>
    <t>宁波翌思-10</t>
  </si>
  <si>
    <t>5-6  客户放假未确认，计划延期至5-7</t>
  </si>
  <si>
    <t>湖南云谷-1</t>
  </si>
  <si>
    <t>4-20  项目积压，技术协议还没给
4-23  桁架主体已上传</t>
  </si>
  <si>
    <t>广东亿冠濠-1</t>
  </si>
  <si>
    <t>江苏西格马-18</t>
  </si>
  <si>
    <t>4-13  项目无需调试</t>
  </si>
  <si>
    <t>江苏西格马-19</t>
  </si>
  <si>
    <t>8台桁架一拖一</t>
  </si>
  <si>
    <t>台州金龙-3</t>
  </si>
  <si>
    <t>5台关节一拖二</t>
  </si>
  <si>
    <t>5-8  碰到五一假期</t>
  </si>
  <si>
    <t>4-15  客户先提3台</t>
  </si>
  <si>
    <t>安徽维多利-2</t>
  </si>
  <si>
    <t>浙江创安-1</t>
  </si>
  <si>
    <t>浙江苏强格-33</t>
  </si>
  <si>
    <t>200台桁架一拖一</t>
  </si>
  <si>
    <t>4-15  合同无交期体现</t>
  </si>
  <si>
    <t>4-15  分批发货</t>
  </si>
  <si>
    <t>江苏承中和-4</t>
  </si>
  <si>
    <t>2台关节一拖三</t>
  </si>
  <si>
    <t>宁波凯舜-1</t>
  </si>
  <si>
    <t>28台桁架一拖一</t>
  </si>
  <si>
    <t>4-23   设计资料未提供
5-7  桁架主体已上传</t>
  </si>
  <si>
    <t>宁波翌思-11</t>
  </si>
  <si>
    <t>4-29  桁架主体已上传</t>
  </si>
  <si>
    <t>重庆智擎-9</t>
  </si>
  <si>
    <t xml:space="preserve">1台智眼桁架一拖二 </t>
  </si>
  <si>
    <t>广东联塑-6</t>
  </si>
  <si>
    <t>44台桁架一拖一</t>
  </si>
  <si>
    <t>4-28  桁架主体已上传</t>
  </si>
  <si>
    <t xml:space="preserve">江西苏强格-18 </t>
  </si>
  <si>
    <t>江苏西格马-14</t>
  </si>
  <si>
    <t>浙江三田-1</t>
  </si>
  <si>
    <t xml:space="preserve">2台桁架一拖二
2台桁架一拖一 </t>
  </si>
  <si>
    <t>河南经纬力-1</t>
  </si>
  <si>
    <t xml:space="preserve">6台桁架一拖一 </t>
  </si>
  <si>
    <t>台州豪德玛-4</t>
  </si>
  <si>
    <t xml:space="preserve">4台桁架一拖一 </t>
  </si>
  <si>
    <t>宁波若西-7</t>
  </si>
  <si>
    <t xml:space="preserve">1台桁架一拖二
14台桁架一拖一 </t>
  </si>
  <si>
    <t>重庆智擎-10</t>
  </si>
  <si>
    <t>广州众诚-9</t>
  </si>
  <si>
    <t>福建艾格法-9</t>
  </si>
  <si>
    <t>湖南云谷-2</t>
  </si>
  <si>
    <t>5-6  天窗7个</t>
  </si>
  <si>
    <t>玉环辉锐-7</t>
  </si>
  <si>
    <r>
      <rPr>
        <b val="1"/>
        <i val="0"/>
        <strike val="0"/>
        <color rgb="FF000000"/>
        <sz val="9"/>
        <u val="none"/>
      </rPr>
      <t>前线</t>
    </r>
    <r>
      <rPr>
        <b val="1"/>
        <i val="0"/>
        <strike val="0"/>
        <color rgb="FF000000"/>
        <sz val="9"/>
        <u val="none"/>
      </rPr>
      <t xml:space="preserve">
人员</t>
    </r>
  </si>
  <si>
    <r>
      <rPr>
        <b val="1"/>
        <i val="0"/>
        <strike val="0"/>
        <color rgb="FF000000"/>
        <sz val="9"/>
        <u val="none"/>
      </rPr>
      <t>合同</t>
    </r>
    <r>
      <rPr>
        <b val="1"/>
        <i val="0"/>
        <strike val="0"/>
        <color rgb="FF000000"/>
        <sz val="9"/>
        <u val="none"/>
      </rPr>
      <t xml:space="preserve">
情况</t>
    </r>
  </si>
  <si>
    <r>
      <rPr>
        <b val="1"/>
        <i val="0"/>
        <strike val="0"/>
        <color rgb="FF000000"/>
        <sz val="9"/>
        <u val="none"/>
      </rPr>
      <t>时间</t>
    </r>
    <r>
      <rPr>
        <b val="1"/>
        <i val="0"/>
        <strike val="0"/>
        <color rgb="FF000000"/>
        <sz val="9"/>
        <u val="none"/>
      </rPr>
      <t xml:space="preserve">
节点</t>
    </r>
  </si>
  <si>
    <r>
      <rPr>
        <b val="1"/>
        <i val="0"/>
        <strike val="0"/>
        <color rgb="FF000000"/>
        <sz val="9"/>
        <u val="none"/>
      </rPr>
      <t>项目</t>
    </r>
    <r>
      <rPr>
        <b val="1"/>
        <i val="0"/>
        <strike val="0"/>
        <color rgb="FF000000"/>
        <sz val="9"/>
        <u val="none"/>
      </rPr>
      <t xml:space="preserve">
阶段</t>
    </r>
  </si>
</sst>
</file>

<file path=xl/styles.xml><?xml version="1.0" encoding="utf-8"?>
<styleSheet xmlns="http://schemas.openxmlformats.org/spreadsheetml/2006/main">
  <numFmts count="4">
    <numFmt numFmtId="300" formatCode="yyyy/m/d;@"/>
    <numFmt numFmtId="301" formatCode="0_ "/>
    <numFmt numFmtId="302" formatCode="m&quot;月&quot;d&quot;日&quot;;@"/>
    <numFmt numFmtId="303" formatCode="General"/>
  </numFmts>
  <fonts count="20">
    <font>
      <name val="等线"/>
      <charset val="134"/>
      <family val="2"/>
      <color theme="1"/>
      <sz val="12"/>
      <scheme val="minor"/>
    </font>
    <font>
      <name val="等线"/>
      <charset val="134"/>
      <color rgb="FF175CEB"/>
      <sz val="10"/>
      <u/>
      <scheme val="minor"/>
    </font>
    <font>
      <name val="Segoe UI Symbol"/>
      <family val="2"/>
      <color rgb="FF000000"/>
      <sz val="10"/>
    </font>
    <font>
      <b val="1"/>
      <color rgb="FF000000"/>
      <sz val="9"/>
    </font>
    <font>
      <b val="1"/>
      <sz val="9"/>
    </font>
    <font>
      <b val="1"/>
      <color rgb="FFFF0000"/>
      <sz val="9"/>
    </font>
    <font>
      <color rgb="FFBE0E1E"/>
    </font>
    <font>
      <color rgb="FF000000"/>
      <sz val="9"/>
    </font>
    <font>
      <sz val="9"/>
    </font>
    <font/>
    <font>
      <name val="微软雅黑"/>
      <color rgb="FF000000"/>
      <sz val="10"/>
    </font>
    <font>
      <name val="微软雅黑"/>
      <sz val="9"/>
    </font>
    <font>
      <sz val="10"/>
    </font>
    <font>
      <sz val="9"/>
    </font>
    <font>
      <sz val="9"/>
    </font>
    <font>
      <sz val="9"/>
    </font>
    <font/>
    <font/>
    <font>
      <name val="等线"/>
      <charset val="134"/>
      <family val="2"/>
      <color theme="1"/>
      <sz val="12"/>
      <scheme val="minor"/>
    </font>
    <font>
      <name val="等线"/>
      <charset val="134"/>
      <family val="2"/>
      <color theme="10"/>
      <sz val="10"/>
      <u/>
      <scheme val="minor"/>
    </font>
  </fonts>
  <fills count="28">
    <fill>
      <patternFill patternType="none"/>
    </fill>
    <fill>
      <patternFill patternType="gray125"/>
    </fill>
    <fill>
      <patternFill patternType="none"/>
    </fill>
    <fill>
      <patternFill patternType="none"/>
    </fill>
    <fill/>
    <fill/>
    <fill>
      <patternFill>
        <fgColor rgb="FFFFC9C7"/>
        <bgColor rgb="FFFFC9C7"/>
      </patternFill>
    </fill>
    <fill>
      <patternFill patternType="solid">
        <fgColor rgb="FFFFFFFF"/>
      </patternFill>
    </fill>
    <fill>
      <patternFill patternType="solid">
        <fgColor rgb="FFFFC9C7"/>
      </patternFill>
    </fill>
    <fill>
      <patternFill>
        <fgColor rgb="FFC3EAD5"/>
        <bgColor rgb="FFC3EAD5"/>
      </patternFill>
    </fill>
    <fill>
      <patternFill patternType="solid">
        <fgColor rgb="FFC3EAD5"/>
      </patternFill>
    </fill>
    <fill>
      <patternFill patternType="solid">
        <fgColor rgb="FFFFC9C7"/>
      </patternFill>
    </fill>
    <fill/>
    <fill>
      <patternFill patternType="none"/>
    </fill>
    <fill>
      <patternFill patternType="solid">
        <fgColor rgb="FFFFFFFF"/>
      </patternFill>
    </fill>
    <fill>
      <patternFill patternType="solid">
        <fgColor rgb="FFFFC9C7"/>
      </patternFill>
    </fill>
    <fill>
      <patternFill patternType="solid">
        <fgColor rgb="FFFFFFFF"/>
      </patternFill>
    </fill>
    <fill>
      <patternFill patternType="solid">
        <fgColor rgb="FFFFC9C7"/>
      </patternFill>
    </fill>
    <fill>
      <patternFill patternType="solid">
        <fgColor rgb="FFC3EAD5"/>
        <bgColor auto="1"/>
      </patternFill>
    </fill>
    <fill>
      <patternFill patternType="solid">
        <fgColor rgb="FF92D050"/>
      </patternFill>
    </fill>
    <fill>
      <patternFill patternType="solid">
        <fgColor rgb="FFC3EAD5"/>
        <bgColor auto="1"/>
      </patternFill>
    </fill>
    <fill>
      <patternFill patternType="solid">
        <fgColor rgb="FF92D050"/>
      </patternFill>
    </fill>
    <fill>
      <patternFill patternType="solid">
        <fgColor rgb="FFC3EAD5"/>
      </patternFill>
    </fill>
    <fill>
      <patternFill patternType="solid">
        <fgColor rgb="FFFFC9C7"/>
        <bgColor auto="1"/>
      </patternFill>
    </fill>
    <fill>
      <patternFill patternType="solid">
        <fgColor rgb="FF92D050"/>
      </patternFill>
    </fill>
    <fill>
      <patternFill patternType="solid">
        <fgColor rgb="FFD8D8D8"/>
      </patternFill>
    </fill>
    <fill>
      <patternFill patternType="solid">
        <fgColor rgb="FFD8D8D8"/>
      </patternFill>
    </fill>
    <fill>
      <patternFill patternType="none">
        <fgColor rgb="FF8CDDFA"/>
      </patternFill>
    </fill>
  </fills>
  <borders count="107">
    <border>
      <left/>
      <right/>
      <top/>
      <bottom/>
      <diagonal/>
    </border>
    <border>
      <left style="medium">
        <color rgb="FF7F7F7F"/>
      </left>
      <top style="medium">
        <color rgb="FF7F7F7F"/>
      </top>
      <diagonal/>
    </border>
    <border>
      <left style="dashed">
        <color rgb="FF000000"/>
      </left>
      <right style="dashed">
        <color rgb="FF000000"/>
      </right>
      <top style="medium">
        <color rgb="FF7F7F7F"/>
      </top>
      <diagonal/>
    </border>
    <border>
      <right style="dashed">
        <color rgb="FF7F7F7F"/>
      </right>
      <top style="medium">
        <color rgb="FF7F7F7F"/>
      </top>
      <diagonal/>
    </border>
    <border>
      <left style="dashed">
        <color rgb="FF7F7F7F"/>
      </left>
      <right style="dashed">
        <color rgb="FF7F7F7F"/>
      </right>
      <top style="medium">
        <color rgb="FF7F7F7F"/>
      </top>
      <diagonal/>
    </border>
    <border>
      <left style="dashed">
        <color rgb="FF7F7F7F"/>
      </left>
      <right style="dashed">
        <color rgb="FF7F7F7F"/>
      </right>
      <top style="medium">
        <color rgb="FF7F7F7F"/>
      </top>
    </border>
    <border>
      <left style="dashed">
        <color rgb="FF7F7F7F"/>
      </left>
      <right style="medium">
        <color rgb="FF7F7F7F"/>
      </right>
      <top style="medium">
        <color rgb="FF7F7F7F"/>
      </top>
      <diagonal/>
    </border>
    <border>
      <left style="medium">
        <color rgb="FF939393"/>
      </left>
      <right style="dashed">
        <color rgb="FF939393"/>
      </right>
      <top style="medium">
        <color rgb="FF939393"/>
      </top>
      <bottom style="dashed">
        <color rgb="FF939393"/>
      </bottom>
    </border>
    <border>
      <left style="dashed">
        <color rgb="FF939393"/>
      </left>
      <right style="dashed">
        <color rgb="FF939393"/>
      </right>
      <top style="medium">
        <color rgb="FF939393"/>
      </top>
      <bottom style="dashed">
        <color rgb="FF939393"/>
      </bottom>
    </border>
    <border>
      <left style="dashed">
        <color rgb="FF939393"/>
      </left>
      <right style="dashed">
        <color rgb="FF939393"/>
      </right>
      <top style="medium">
        <color rgb="FF939393"/>
      </top>
      <bottom style="dashed">
        <color rgb="FF939393"/>
      </bottom>
      <diagonal/>
    </border>
    <border>
      <left style="dotted">
        <color rgb="FF7F7F7F"/>
      </left>
      <right style="dotted">
        <color rgb="FF7F7F7F"/>
      </right>
      <top style="medium">
        <color rgb="FF7F7F7F"/>
      </top>
      <bottom style="dotted">
        <color rgb="FF7F7F7F"/>
      </bottom>
      <diagonal/>
    </border>
    <border>
      <left style="dotted">
        <color rgb="FF7F7F7F"/>
      </left>
      <right style="dotted">
        <color rgb="FF7F7F7F"/>
      </right>
      <top style="dotted">
        <color rgb="FF7F7F7F"/>
      </top>
      <bottom style="dotted">
        <color rgb="FF7F7F7F"/>
      </bottom>
      <diagonal/>
    </border>
    <border>
      <left style="dashed">
        <color rgb="FF939393"/>
      </left>
      <right style="medium">
        <color rgb="FF939393"/>
      </right>
      <top style="medium">
        <color rgb="FF939393"/>
      </top>
      <bottom style="dashed">
        <color rgb="FF939393"/>
      </bottom>
      <diagonal/>
    </border>
    <border>
      <left style="medium">
        <color rgb="FF939393"/>
      </left>
      <right style="dashed">
        <color rgb="FF939393"/>
      </right>
      <top style="dashed">
        <color rgb="FF939393"/>
      </top>
      <bottom style="dashed">
        <color rgb="FF939393"/>
      </bottom>
    </border>
    <border>
      <left style="dashed">
        <color rgb="FF939393"/>
      </left>
      <right style="dashed">
        <color rgb="FF939393"/>
      </right>
      <top style="dashed">
        <color rgb="FF939393"/>
      </top>
      <bottom style="dashed">
        <color rgb="FF939393"/>
      </bottom>
    </border>
    <border>
      <left style="dashed">
        <color rgb="FF939393"/>
      </left>
      <right style="dashed">
        <color rgb="FF939393"/>
      </right>
      <top style="dashed">
        <color rgb="FF939393"/>
      </top>
      <bottom style="dashed">
        <color rgb="FF939393"/>
      </bottom>
      <diagonal/>
    </border>
    <border>
      <left/>
      <right style="dotted">
        <color rgb="FF7F7F7F"/>
      </right>
      <top style="dotted">
        <color rgb="FF7F7F7F"/>
      </top>
      <bottom style="dotted">
        <color rgb="FF7F7F7F"/>
      </bottom>
      <diagonal/>
    </border>
    <border>
      <left style="dashed">
        <color rgb="FF939393"/>
      </left>
      <right style="medium">
        <color rgb="FF939393"/>
      </right>
      <top style="dashed">
        <color rgb="FF939393"/>
      </top>
      <bottom style="dashed">
        <color rgb="FF939393"/>
      </bottom>
      <diagonal/>
    </border>
    <border>
      <left style="dotted">
        <color rgb="FF7F7F7F"/>
      </left>
      <right/>
      <top/>
      <bottom style="dotted">
        <color rgb="FF7F7F7F"/>
      </bottom>
      <diagonal/>
    </border>
    <border>
      <left style="medium">
        <color rgb="FF939393"/>
      </left>
      <right style="dashed">
        <color rgb="FF939393"/>
      </right>
      <top style="dashed">
        <color rgb="FF939393"/>
      </top>
      <bottom style="medium">
        <color rgb="FF939393"/>
      </bottom>
    </border>
    <border>
      <left style="dashed">
        <color rgb="FF939393"/>
      </left>
      <right style="dashed">
        <color rgb="FF939393"/>
      </right>
      <top style="dashed">
        <color rgb="FF939393"/>
      </top>
      <bottom style="medium">
        <color rgb="FF939393"/>
      </bottom>
    </border>
    <border>
      <left style="dashed">
        <color rgb="FF939393"/>
      </left>
      <right style="dashed">
        <color rgb="FF939393"/>
      </right>
      <top style="dashed">
        <color rgb="FF939393"/>
      </top>
      <bottom style="medium">
        <color rgb="FF939393"/>
      </bottom>
      <diagonal/>
    </border>
    <border>
      <left style="dotted">
        <color rgb="FF7F7F7F"/>
      </left>
      <right style="dotted">
        <color rgb="FF7F7F7F"/>
      </right>
      <top style="dotted">
        <color rgb="FF7F7F7F"/>
      </top>
      <bottom style="medium">
        <color rgb="FF7F7F7F"/>
      </bottom>
      <diagonal/>
    </border>
    <border>
      <left style="dashed">
        <color rgb="FF939393"/>
      </left>
      <right style="medium">
        <color rgb="FF939393"/>
      </right>
      <top style="dashed">
        <color rgb="FF939393"/>
      </top>
      <bottom style="medium">
        <color rgb="FF939393"/>
      </bottom>
      <diagonal/>
    </border>
    <border>
      <left style="dotted">
        <color rgb="FF7F7F7F"/>
      </left>
      <bottom style="dotted">
        <color rgb="FF7F7F7F"/>
      </bottom>
      <diagonal/>
    </border>
    <border>
      <left/>
      <right/>
      <top/>
      <bottom/>
    </border>
    <border>
      <left/>
      <right style="dotted">
        <color rgb="FF7F7F7F"/>
      </right>
      <top style="dotted">
        <color rgb="FF7F7F7F"/>
      </top>
      <bottom style="dotted">
        <color rgb="FF7F7F7F"/>
      </bottom>
      <diagonal/>
    </border>
    <border>
      <left/>
      <right/>
      <bottom/>
      <diagonal/>
    </border>
    <border>
      <left style="dotted">
        <color rgb="FF7F7F7F"/>
      </left>
      <right style="dotted">
        <color rgb="FF7F7F7F"/>
      </right>
      <top style="dotted">
        <color rgb="FF7F7F7F"/>
      </top>
      <bottom style="medium">
        <color rgb="FF7F7F7F"/>
      </bottom>
    </border>
    <border>
      <left style="medium">
        <color rgb="FF7F7F7F"/>
      </left>
      <right style="dotted">
        <color rgb="FF7F7F7F"/>
      </right>
      <top style="medium">
        <color rgb="FF7F7F7F"/>
      </top>
    </border>
    <border>
      <left style="dotted">
        <color rgb="FF7F7F7F"/>
      </left>
      <right style="dotted">
        <color rgb="FF7F7F7F"/>
      </right>
      <top style="medium">
        <color rgb="FF7F7F7F"/>
      </top>
      <bottom style="dotted">
        <color rgb="FF7F7F7F"/>
      </bottom>
    </border>
    <border>
      <left style="dotted">
        <color rgb="FF7F7F7F"/>
      </left>
      <right style="dashed">
        <color rgb="FF7F7F7F"/>
      </right>
      <top style="medium">
        <color rgb="FF7F7F7F"/>
      </top>
      <diagonal/>
    </border>
    <border>
      <right style="dotted">
        <color rgb="FF7F7F7F"/>
      </right>
      <top style="dotted">
        <color rgb="FF7F7F7F"/>
      </top>
      <bottom style="dotted">
        <color rgb="FF7F7F7F"/>
      </bottom>
      <diagonal/>
    </border>
    <border>
      <left style="dotted">
        <color rgb="FF7F7F7F"/>
      </left>
      <right style="medium">
        <color rgb="FF7F7F7F"/>
      </right>
      <top style="medium">
        <color rgb="FF7F7F7F"/>
      </top>
      <bottom style="dotted">
        <color rgb="FF7F7F7F"/>
      </bottom>
      <diagonal/>
    </border>
    <border>
      <left style="medium">
        <color rgb="FF7F7F7F"/>
      </left>
      <right style="dotted">
        <color rgb="FF7F7F7F"/>
      </right>
    </border>
    <border>
      <left style="dotted">
        <color rgb="FF7F7F7F"/>
      </left>
      <right style="dotted">
        <color rgb="FF7F7F7F"/>
      </right>
      <top style="dotted">
        <color rgb="FF7F7F7F"/>
      </top>
      <bottom style="dotted">
        <color rgb="FF7F7F7F"/>
      </bottom>
    </border>
    <border>
      <left style="dotted">
        <color rgb="FF7F7F7F"/>
      </left>
      <right/>
      <bottom style="dotted">
        <color rgb="FF7F7F7F"/>
      </bottom>
      <diagonal/>
    </border>
    <border>
      <left style="dotted">
        <color rgb="FF7F7F7F"/>
      </left>
      <right style="medium">
        <color rgb="FF7F7F7F"/>
      </right>
      <top style="dotted">
        <color rgb="FF7F7F7F"/>
      </top>
      <bottom style="dotted">
        <color rgb="FF7F7F7F"/>
      </bottom>
      <diagonal/>
    </border>
    <border>
      <left/>
      <right/>
      <diagonal/>
    </border>
    <border>
      <left style="dotted">
        <color rgb="FF7F7F7F"/>
      </left>
      <right style="dashed">
        <color rgb="FF7F7F7F"/>
      </right>
      <top style="dashed">
        <color rgb="FF7F7F7F"/>
      </top>
      <bottom style="medium">
        <color rgb="FF7F7F7F"/>
      </bottom>
      <diagonal/>
    </border>
    <border>
      <left style="dotted">
        <color rgb="FF7F7F7F"/>
      </left>
      <right style="medium">
        <color rgb="FF7F7F7F"/>
      </right>
      <top style="dotted">
        <color rgb="FF7F7F7F"/>
      </top>
      <bottom style="medium">
        <color rgb="FF7F7F7F"/>
      </bottom>
      <diagonal/>
    </border>
    <border>
      <left style="dotted">
        <color rgb="FF7F7F7F"/>
      </left>
      <right style="dashed">
        <color rgb="FF7F7F7F"/>
      </right>
      <top style="medium">
        <color rgb="FF7F7F7F"/>
      </top>
    </border>
    <border>
      <right style="dotted">
        <color rgb="FF7F7F7F"/>
      </right>
      <top style="dotted">
        <color rgb="FF7F7F7F"/>
      </top>
      <bottom style="dotted">
        <color rgb="FF7F7F7F"/>
      </bottom>
    </border>
    <border>
      <left style="dotted">
        <color rgb="FF7F7F7F"/>
      </left>
      <right style="medium">
        <color rgb="FF7F7F7F"/>
      </right>
      <top style="medium">
        <color rgb="FF7F7F7F"/>
      </top>
      <bottom style="dotted">
        <color rgb="FF7F7F7F"/>
      </bottom>
    </border>
    <border>
      <left style="dotted">
        <color rgb="FF7F7F7F"/>
      </left>
      <right/>
      <bottom style="dotted">
        <color rgb="FF7F7F7F"/>
      </bottom>
    </border>
    <border>
      <left style="dotted">
        <color rgb="FF7F7F7F"/>
      </left>
      <right style="medium">
        <color rgb="FF7F7F7F"/>
      </right>
      <top style="dotted">
        <color rgb="FF7F7F7F"/>
      </top>
      <bottom style="dotted">
        <color rgb="FF7F7F7F"/>
      </bottom>
    </border>
    <border>
      <left/>
      <right/>
    </border>
    <border>
      <left style="dotted">
        <color rgb="FF7F7F7F"/>
      </left>
      <right style="dashed">
        <color rgb="FF7F7F7F"/>
      </right>
      <top style="dashed">
        <color rgb="FF7F7F7F"/>
      </top>
      <bottom style="medium">
        <color rgb="FF7F7F7F"/>
      </bottom>
    </border>
    <border>
      <left style="dotted">
        <color rgb="FF7F7F7F"/>
      </left>
      <right style="medium">
        <color rgb="FF7F7F7F"/>
      </right>
      <top style="dotted">
        <color rgb="FF7F7F7F"/>
      </top>
      <bottom style="medium">
        <color rgb="FF7F7F7F"/>
      </bottom>
    </border>
    <border>
      <left style="dotted">
        <color rgb="FF7F7F7F"/>
      </left>
      <right style="dashed">
        <color rgb="FF7F7F7F"/>
      </right>
      <top style="dashed">
        <color rgb="FF7F7F7F"/>
      </top>
      <bottom style="dashed">
        <color rgb="FF7F7F7F"/>
      </bottom>
    </border>
    <border>
      <left style="dotted">
        <color rgb="FF7F7F7F"/>
      </left>
      <right style="dotted">
        <color rgb="FF7F7F7F"/>
      </right>
      <bottom style="dotted">
        <color rgb="FF7F7F7F"/>
      </bottom>
    </border>
    <border>
      <left/>
      <right style="dotted">
        <color rgb="FF7F7F7F"/>
      </right>
      <top style="dotted">
        <color rgb="FF7F7F7F"/>
      </top>
      <bottom style="dotted">
        <color rgb="FF7F7F7F"/>
      </bottom>
    </border>
    <border>
      <right style="dotted">
        <color rgb="FF7F7F7F"/>
      </right>
      <top style="medium">
        <color rgb="FF7F7F7F"/>
      </top>
      <bottom style="dotted">
        <color rgb="FF7F7F7F"/>
      </bottom>
    </border>
    <border>
      <left style="dotted">
        <color rgb="FF7F7F7F"/>
      </left>
      <bottom style="dotted">
        <color rgb="FF7F7F7F"/>
      </bottom>
    </border>
    <border>
      <right style="dotted">
        <color rgb="FF7F7F7F"/>
      </right>
      <top style="medium">
        <color rgb="FF7F7F7F"/>
      </top>
      <bottom style="dotted">
        <color rgb="FF7F7F7F"/>
      </bottom>
      <diagonal/>
    </border>
    <border>
      <left style="dotted">
        <color rgb="FF7F7F7F"/>
      </left>
      <right style="dotted">
        <color rgb="FF7F7F7F"/>
      </right>
      <bottom style="dotted">
        <color rgb="FF7F7F7F"/>
      </bottom>
      <diagonal/>
    </border>
    <border>
      <left style="dotted">
        <color rgb="FF7F7F7F"/>
      </left>
      <right style="dashed">
        <color rgb="FF7F7F7F"/>
      </right>
      <top style="dashed">
        <color rgb="FF7F7F7F"/>
      </top>
      <bottom style="dashed">
        <color rgb="FF7F7F7F"/>
      </bottom>
      <diagonal/>
    </border>
    <border>
      <left style="medium">
        <color rgb="FF7F7F7F"/>
      </left>
      <right style="dotted">
        <color rgb="FF7F7F7F"/>
      </right>
      <top style="medium">
        <color rgb="FF7F7F7F"/>
      </top>
      <bottom/>
      <diagonal/>
    </border>
    <border>
      <left style="dotted">
        <color rgb="FF7F7F7F"/>
      </left>
      <right style="dashed">
        <color rgb="FF7F7F7F"/>
      </right>
      <top style="medium">
        <color rgb="FF7F7F7F"/>
      </top>
      <bottom/>
      <diagonal/>
    </border>
    <border>
      <left/>
      <right style="dotted">
        <color rgb="FF7F7F7F"/>
      </right>
      <top style="medium">
        <color rgb="FF7F7F7F"/>
      </top>
      <bottom style="dotted">
        <color rgb="FF7F7F7F"/>
      </bottom>
      <diagonal/>
    </border>
    <border>
      <left style="medium">
        <color rgb="FF7F7F7F"/>
      </left>
      <right style="dotted">
        <color rgb="FF7F7F7F"/>
      </right>
      <top/>
      <bottom/>
      <diagonal/>
    </border>
    <border>
      <left style="dotted">
        <color rgb="FF7F7F7F"/>
      </left>
      <right/>
      <top/>
      <bottom style="dotted">
        <color rgb="FF7F7F7F"/>
      </bottom>
      <diagonal/>
    </border>
    <border>
      <left style="dotted">
        <color rgb="FF7F7F7F"/>
      </left>
      <right style="dotted">
        <color rgb="FF7F7F7F"/>
      </right>
      <top/>
      <bottom style="dotted">
        <color rgb="FF7F7F7F"/>
      </bottom>
      <diagonal/>
    </border>
    <border>
      <left style="medium">
        <color rgb="FF7F7F7F"/>
      </left>
      <right style="dotted">
        <color rgb="FF7F7F7F"/>
      </right>
      <diagonal/>
    </border>
    <border>
      <left style="dotted">
        <color rgb="FF7F7F7F"/>
      </left>
      <right style="dashed">
        <color rgb="FF7F7F7F"/>
      </right>
      <top/>
      <bottom style="dashed">
        <color rgb="FF7F7F7F"/>
      </bottom>
      <diagonal/>
    </border>
    <border>
      <left style="dotted">
        <color rgb="FF7F7F7F"/>
      </left>
      <right style="dotted">
        <color rgb="FF7F7F7F"/>
      </right>
    </border>
    <border>
      <left style="dotted">
        <color rgb="FF7F7F7F"/>
      </left>
      <right style="dashed">
        <color rgb="FF7F7F7F"/>
      </right>
      <top style="medium">
        <color rgb="FF7F7F7F"/>
      </top>
      <bottom style="dashed">
        <color rgb="FF7F7F7F"/>
      </bottom>
      <diagonal/>
    </border>
    <border>
      <left style="dotted">
        <color rgb="FF7F7F7F"/>
      </left>
      <right style="dotted">
        <color rgb="FF7F7F7F"/>
      </right>
      <top/>
      <bottom/>
      <diagonal/>
    </border>
    <border>
      <left style="medium">
        <color rgb="FF7F7F7F"/>
      </left>
      <right style="dotted">
        <color rgb="FF7F7F7F"/>
      </right>
      <top style="medium">
        <color rgb="FF7F7F7F"/>
      </top>
      <diagonal/>
    </border>
    <border diagonalUp="1" diagonalDown="1">
      <left style="dotted">
        <color rgb="FF7F7F7F"/>
      </left>
      <right style="dashed">
        <color rgb="FF7F7F7F"/>
      </right>
      <top style="dashed">
        <color rgb="FF7F7F7F"/>
      </top>
      <bottom style="dashed">
        <color rgb="FF7F7F7F"/>
      </bottom>
      <diagonal/>
    </border>
    <border>
      <left style="medium">
        <color rgb="FF7F7F7F"/>
      </left>
      <right style="dotted">
        <color rgb="FF7F7F7F"/>
      </right>
      <top style="medium">
        <color rgb="FF7F7F7F"/>
      </top>
      <bottom style="dotted">
        <color rgb="FF7F7F7F"/>
      </bottom>
    </border>
    <border>
      <left style="dotted">
        <color rgb="FF7F7F7F"/>
      </left>
      <right style="dashed">
        <color rgb="FF7F7F7F"/>
      </right>
      <top style="medium">
        <color rgb="FF7F7F7F"/>
      </top>
      <bottom style="dashed">
        <color rgb="FF7F7F7F"/>
      </bottom>
    </border>
    <border>
      <left style="medium">
        <color rgb="FF7F7F7F"/>
      </left>
      <right style="dotted">
        <color rgb="FF7F7F7F"/>
      </right>
      <top style="dotted">
        <color rgb="FF7F7F7F"/>
      </top>
      <bottom style="dotted">
        <color rgb="FF7F7F7F"/>
      </bottom>
    </border>
    <border>
      <left style="medium">
        <color rgb="FF7F7F7F"/>
      </left>
      <right style="dotted">
        <color rgb="FF7F7F7F"/>
      </right>
      <top style="dotted">
        <color rgb="FF7F7F7F"/>
      </top>
      <bottom style="medium">
        <color rgb="FF7F7F7F"/>
      </bottom>
    </border>
    <border>
      <left style="medium">
        <color rgb="FF7F7F7F"/>
      </left>
      <right style="dotted">
        <color rgb="FF7F7F7F"/>
      </right>
      <top style="medium">
        <color rgb="FF7F7F7F"/>
      </top>
      <bottom style="medium">
        <color rgb="FF7F7F7F"/>
      </bottom>
    </border>
    <border>
      <left style="dotted">
        <color rgb="FF7F7F7F"/>
      </left>
      <right style="dotted">
        <color rgb="FF7F7F7F"/>
      </right>
      <top style="medium">
        <color rgb="FF7F7F7F"/>
      </top>
      <bottom style="medium">
        <color rgb="FF7F7F7F"/>
      </bottom>
    </border>
    <border>
      <left style="medium">
        <color rgb="FF7F7F7F"/>
      </left>
      <right style="dotted">
        <color rgb="FF7F7F7F"/>
      </right>
      <top style="medium">
        <color rgb="FF7F7F7F"/>
      </top>
    </border>
    <border>
      <left style="dotted">
        <color rgb="FF7F7F7F"/>
      </left>
      <right style="dotted">
        <color rgb="FF7F7F7F"/>
      </right>
      <top style="medium">
        <color rgb="FF7F7F7F"/>
      </top>
    </border>
    <border>
      <left style="medium">
        <color rgb="FF7F7F7F"/>
      </left>
      <right style="dotted">
        <color rgb="FF7F7F7F"/>
      </right>
    </border>
    <border>
      <left style="medium">
        <color rgb="FF7F7F7F"/>
      </left>
      <right style="dotted">
        <color rgb="FF7F7F7F"/>
      </right>
      <bottom style="medium">
        <color rgb="FF7F7F7F"/>
      </bottom>
    </border>
    <border>
      <left style="dotted">
        <color rgb="FF7F7F7F"/>
      </left>
      <right style="dotted">
        <color rgb="FF7F7F7F"/>
      </right>
      <top/>
      <bottom style="dotted">
        <color rgb="FF7F7F7F"/>
      </bottom>
    </border>
    <border>
      <right style="dotted">
        <color rgb="FF7F7F7F"/>
      </right>
      <top style="medium">
        <color rgb="FF7F7F7F"/>
      </top>
    </border>
    <border>
      <left style="dotted">
        <color rgb="FF7F7F7F"/>
      </left>
      <top/>
      <bottom style="dotted">
        <color rgb="FF7F7F7F"/>
      </bottom>
    </border>
    <border>
      <left style="dotted">
        <color rgb="FF7F7F7F"/>
      </left>
      <top style="dotted">
        <color rgb="FF7F7F7F"/>
      </top>
      <bottom style="dotted">
        <color rgb="FF7F7F7F"/>
      </bottom>
    </border>
    <border>
      <left style="dotted">
        <color rgb="FF7F7F7F"/>
      </left>
      <right style="medium">
        <color rgb="FF7F7F7F"/>
      </right>
      <top/>
      <bottom style="dotted">
        <color rgb="FF7F7F7F"/>
      </bottom>
    </border>
    <border>
      <left style="dotted">
        <color rgb="FF7F7F7F"/>
      </left>
      <right style="dotted">
        <color rgb="FF7F7F7F"/>
      </right>
      <bottom/>
    </border>
    <border>
      <left style="dotted">
        <color rgb="FF7F7F7F"/>
      </left>
      <right style="dotted">
        <color rgb="FF7F7F7F"/>
      </right>
      <top style="dotted">
        <color rgb="FF7F7F7F"/>
      </top>
    </border>
    <border>
      <left style="dotted">
        <color rgb="FF7F7F7F"/>
      </left>
      <right style="dotted">
        <color rgb="FF7F7F7F"/>
      </right>
      <bottom style="dotted">
        <color rgb="FF7F7F7F"/>
      </bottom>
    </border>
    <border>
      <left/>
      <right style="dotted">
        <color rgb="FF7F7F7F"/>
      </right>
      <top style="medium">
        <color rgb="FF7F7F7F"/>
      </top>
      <bottom style="dotted">
        <color rgb="FF7F7F7F"/>
      </bottom>
    </border>
    <border>
      <left style="dotted">
        <color rgb="FF939393"/>
      </left>
      <right style="dotted">
        <color rgb="FF939393"/>
      </right>
      <top style="medium">
        <color rgb="FF939393"/>
      </top>
      <bottom style="dotted">
        <color rgb="FF939393"/>
      </bottom>
    </border>
    <border>
      <left style="dotted">
        <color rgb="FF939393"/>
      </left>
      <right style="dotted">
        <color rgb="FF939393"/>
      </right>
      <top style="dotted">
        <color rgb="FF939393"/>
      </top>
      <bottom style="dotted">
        <color rgb="FF939393"/>
      </bottom>
    </border>
    <border>
      <left style="dotted">
        <color rgb="FF939393"/>
      </left>
      <right style="dotted">
        <color rgb="FF939393"/>
      </right>
      <top style="dotted">
        <color rgb="FF939393"/>
      </top>
      <bottom style="medium">
        <color rgb="FF939393"/>
      </bottom>
    </border>
    <border>
      <left style="medium">
        <color rgb="FF939393"/>
      </left>
      <right style="dotted">
        <color rgb="FF939393"/>
      </right>
      <top style="medium">
        <color rgb="FF939393"/>
      </top>
      <bottom style="dotted">
        <color rgb="FF939393"/>
      </bottom>
    </border>
    <border>
      <left style="dotted">
        <color rgb="FF939393"/>
      </left>
      <right style="medium">
        <color rgb="FF939393"/>
      </right>
      <top style="medium">
        <color rgb="FF939393"/>
      </top>
      <bottom style="dotted">
        <color rgb="FF939393"/>
      </bottom>
    </border>
    <border>
      <left style="medium">
        <color rgb="FF939393"/>
      </left>
      <right style="dotted">
        <color rgb="FF939393"/>
      </right>
      <top style="dotted">
        <color rgb="FF939393"/>
      </top>
      <bottom style="dotted">
        <color rgb="FF939393"/>
      </bottom>
    </border>
    <border>
      <left style="dotted">
        <color rgb="FF939393"/>
      </left>
      <right style="medium">
        <color rgb="FF939393"/>
      </right>
      <top style="dotted">
        <color rgb="FF939393"/>
      </top>
      <bottom style="dotted">
        <color rgb="FF939393"/>
      </bottom>
    </border>
    <border>
      <left style="medium">
        <color rgb="FF939393"/>
      </left>
      <right style="dotted">
        <color rgb="FF939393"/>
      </right>
      <top style="dotted">
        <color rgb="FF939393"/>
      </top>
      <bottom style="medium">
        <color rgb="FF939393"/>
      </bottom>
    </border>
    <border>
      <left style="dotted">
        <color rgb="FF939393"/>
      </left>
      <right style="medium">
        <color rgb="FF939393"/>
      </right>
      <top style="dotted">
        <color rgb="FF939393"/>
      </top>
      <bottom style="medium">
        <color rgb="FF939393"/>
      </bottom>
    </border>
    <border>
      <left/>
      <right/>
      <top/>
      <bottom/>
    </border>
    <border>
      <left style="dotted">
        <color rgb="FF7F7F7F"/>
      </left>
      <right style="dotted">
        <color rgb="FF7F7F7F"/>
      </right>
      <top style="medium">
        <color rgb="FF7F7F7F"/>
      </top>
      <bottom/>
    </border>
    <border>
      <left style="dotted">
        <color rgb="FF7F7F7F"/>
      </left>
      <right style="dashed">
        <color rgb="FF7F7F7F"/>
      </right>
      <top style="medium">
        <color rgb="FF7F7F7F"/>
      </top>
      <bottom/>
    </border>
    <border>
      <left style="dotted">
        <color rgb="FFA5A5A5"/>
      </left>
      <right style="dotted">
        <color rgb="FFA5A5A5"/>
      </right>
      <top style="dotted">
        <color rgb="FFA5A5A5"/>
      </top>
      <bottom style="dotted">
        <color rgb="FFA5A5A5"/>
      </bottom>
    </border>
    <border>
      <left style="dotted">
        <color rgb="FF7F7F7F"/>
      </left>
      <right style="dotted">
        <color rgb="FF7F7F7F"/>
      </right>
      <top/>
      <bottom/>
    </border>
    <border>
      <left style="dotted">
        <color rgb="FF7F7F7F"/>
      </left>
      <right/>
      <top/>
      <bottom style="dotted">
        <color rgb="FF7F7F7F"/>
      </bottom>
    </border>
    <border>
      <left style="dotted">
        <color rgb="FF7F7F7F"/>
      </left>
      <right/>
      <top style="dotted">
        <color rgb="FF7F7F7F"/>
      </top>
      <bottom style="dotted">
        <color rgb="FF7F7F7F"/>
      </bottom>
    </border>
    <border>
      <left style="dotted">
        <color rgb="FF7F7F7F"/>
      </left>
      <right style="medium">
        <color rgb="FF7F7F7F"/>
      </right>
      <bottom style="dotted">
        <color rgb="FF7F7F7F"/>
      </bottom>
    </border>
    <border>
      <left/>
      <right/>
      <top/>
      <bottom/>
      <diagonal/>
    </border>
  </borders>
  <cellStyleXfs>
    <xf numFmtId="303" fontId="18" fillId="0" borderId="106" xfId="0">
      <alignment vertical="center"/>
    </xf>
    <xf numFmtId="303" fontId="19" fillId="2" borderId="106" xfId="0" applyNumberFormat="0" applyFill="0" applyBorder="0" applyAlignment="0" applyProtection="0">
      <alignment vertical="center"/>
    </xf>
  </cellStyleXfs>
  <cellXfs count="89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wrapText="1"/>
    </xf>
    <xf numFmtId="0" fontId="4" fillId="2" borderId="4" xfId="0" applyNumberFormat="1" applyFont="1" applyFill="1" applyBorder="1" applyAlignment="1">
      <alignment horizontal="center" vertical="center" wrapText="1"/>
    </xf>
    <xf numFmtId="300" fontId="4" fillId="2" borderId="4" xfId="0" applyNumberFormat="1" applyFont="1" applyFill="1" applyBorder="1" applyAlignment="1">
      <alignment horizontal="center" vertical="center" wrapText="1"/>
    </xf>
    <xf numFmtId="0" fontId="4" fillId="2" borderId="5"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300" fontId="3" fillId="2" borderId="4" xfId="0" applyNumberFormat="1" applyFont="1" applyFill="1" applyBorder="1" applyAlignment="1">
      <alignment horizontal="center" vertical="center" wrapText="1"/>
    </xf>
    <xf numFmtId="300" fontId="5" fillId="2" borderId="4" xfId="0" applyNumberFormat="1" applyFont="1" applyFill="1" applyBorder="1" applyAlignment="1">
      <alignment horizontal="center" vertical="center" wrapText="1"/>
    </xf>
    <xf numFmtId="301" fontId="3" fillId="2" borderId="4" xfId="0" applyNumberFormat="1" applyFont="1" applyFill="1" applyBorder="1" applyAlignment="1">
      <alignment horizontal="center" vertical="center" wrapText="1"/>
    </xf>
    <xf numFmtId="0" fontId="3" fillId="3" borderId="4" xfId="0" applyNumberFormat="1" applyFont="1" applyFill="1" applyBorder="1" applyAlignment="1">
      <alignment horizontal="center" vertical="center" wrapText="1"/>
    </xf>
    <xf fontId="6" fillId="0" borderId="0" xfId="0">
      <alignment vertical="center"/>
    </xf>
    <xf numFmtId="0" fontId="3" fillId="2" borderId="5"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0" fontId="7" fillId="4" borderId="7" xfId="0" applyNumberFormat="1" applyFont="1" applyFill="1" applyBorder="1" applyAlignment="1">
      <alignment horizontal="center" vertical="center" wrapText="1"/>
    </xf>
    <xf numFmtId="0" fontId="8" fillId="2" borderId="8" xfId="0" applyNumberFormat="1" applyFont="1" applyFill="1" applyBorder="1" applyAlignment="1">
      <alignment horizontal="center" vertical="center" wrapText="0"/>
    </xf>
    <xf numFmtId="0" fontId="7" fillId="4" borderId="8" xfId="0" applyNumberFormat="1" applyFont="1" applyFill="1" applyBorder="1" applyAlignment="1">
      <alignment horizontal="center" vertical="center" wrapText="1"/>
    </xf>
    <xf numFmtId="0" fontId="7" fillId="4" borderId="9" xfId="0" applyNumberFormat="1" applyFont="1" applyFill="1" applyBorder="1" applyAlignment="1">
      <alignment horizontal="center" vertical="center" wrapText="1"/>
    </xf>
    <xf numFmtId="72" fontId="7" fillId="2" borderId="9" xfId="0">
      <alignment horizontal="center" vertical="center" wrapText="1"/>
    </xf>
    <xf numFmtId="0" fontId="7" fillId="5" borderId="9" xfId="0" applyNumberFormat="1" applyFont="1" applyFill="1" applyBorder="1" applyAlignment="1">
      <alignment horizontal="center" vertical="center" wrapText="1"/>
    </xf>
    <xf numFmtId="300" fontId="7" fillId="4" borderId="9" xfId="0" applyNumberFormat="1" applyFont="1" applyFill="1" applyBorder="1" applyAlignment="1">
      <alignment horizontal="center" vertical="center" wrapText="1"/>
    </xf>
    <xf numFmtId="300" fontId="7" fillId="4" borderId="9" xfId="0">
      <alignment horizontal="center" vertical="center" wrapText="1"/>
    </xf>
    <xf numFmtId="0" fontId="7" fillId="4" borderId="10" xfId="0">
      <alignment horizontal="center" vertical="center" wrapText="1"/>
    </xf>
    <xf numFmtId="301" fontId="7" fillId="4" borderId="9" xfId="0" applyNumberFormat="1" applyFont="1" applyFill="1" applyBorder="1" applyAlignment="1">
      <alignment horizontal="center" vertical="center" wrapText="1"/>
    </xf>
    <xf numFmtId="0" fontId="7" fillId="4" borderId="11" xfId="0" applyNumberFormat="1" applyFont="1" applyFill="1" applyBorder="1" applyAlignment="1">
      <alignment horizontal="center" vertical="center" wrapText="1"/>
    </xf>
    <xf numFmtId="0" fontId="7" fillId="4" borderId="9" xfId="0">
      <alignment horizontal="center" vertical="center" wrapText="1"/>
    </xf>
    <xf fontId="9" fillId="6" borderId="0" xfId="0">
      <alignment vertical="center"/>
    </xf>
    <xf numFmtId="0" fontId="7" fillId="4" borderId="9" xfId="0" applyNumberFormat="1" applyFont="1" applyFill="1" applyBorder="1" applyAlignment="1">
      <alignment horizontal="left" vertical="center" wrapText="1"/>
    </xf>
    <xf numFmtId="0" fontId="7" fillId="4" borderId="12" xfId="0">
      <alignment horizontal="left" vertical="center" wrapText="1"/>
    </xf>
    <xf numFmtId="0" fontId="10" fillId="7" borderId="13" xfId="0" applyNumberFormat="1" applyFont="1" applyFill="1" applyBorder="1" applyAlignment="1">
      <alignment horizontal="center" vertical="center"/>
    </xf>
    <xf numFmtId="0" fontId="11" fillId="7" borderId="14" xfId="0" applyNumberFormat="1" applyFont="1" applyFill="1" applyBorder="1" applyAlignment="1">
      <alignment horizontal="center" vertical="center" wrapText="0"/>
    </xf>
    <xf numFmtId="0" fontId="10" fillId="7" borderId="14" xfId="0" applyNumberFormat="1" applyFont="1" applyFill="1" applyBorder="1" applyAlignment="1">
      <alignment horizontal="center" vertical="center" wrapText="1"/>
    </xf>
    <xf numFmtId="300" fontId="7" fillId="4" borderId="15" xfId="0" applyNumberFormat="1" applyFont="1" applyFill="1" applyBorder="1" applyAlignment="1">
      <alignment horizontal="center" vertical="center" wrapText="1"/>
    </xf>
    <xf numFmtId="0" fontId="7" fillId="4" borderId="15" xfId="0" applyNumberFormat="1" applyFont="1" applyFill="1" applyBorder="1" applyAlignment="1">
      <alignment horizontal="center" vertical="center" wrapText="1"/>
    </xf>
    <xf numFmtId="0" fontId="7" fillId="2" borderId="15" xfId="0">
      <alignment horizontal="center" vertical="center" wrapText="1"/>
    </xf>
    <xf numFmtId="0" fontId="7" fillId="8" borderId="15" xfId="0" applyNumberFormat="1" applyFont="1" applyFill="1" applyBorder="1" applyAlignment="1">
      <alignment horizontal="center" vertical="center" wrapText="1"/>
    </xf>
    <xf numFmtId="300" fontId="7" fillId="8" borderId="11" xfId="0">
      <alignment horizontal="center" vertical="center" wrapText="1"/>
    </xf>
    <xf numFmtId="300" fontId="7" fillId="8" borderId="15" xfId="0" applyNumberFormat="1" applyFont="1" applyFill="1" applyBorder="1" applyAlignment="1">
      <alignment horizontal="center" vertical="center" wrapText="1"/>
    </xf>
    <xf numFmtId="301" fontId="7" fillId="4" borderId="16" xfId="0" applyNumberFormat="1" applyFont="1" applyFill="1" applyBorder="1" applyAlignment="1">
      <alignment horizontal="center" vertical="center" wrapText="1"/>
    </xf>
    <xf numFmtId="0" fontId="7" fillId="4" borderId="15" xfId="0">
      <alignment horizontal="center" vertical="center" wrapText="1"/>
    </xf>
    <xf numFmtId="0" fontId="7" fillId="4" borderId="15" xfId="0" applyNumberFormat="1" applyFont="1" applyFill="1" applyBorder="1" applyAlignment="1">
      <alignment horizontal="left" vertical="center" wrapText="1"/>
    </xf>
    <xf numFmtId="0" fontId="7" fillId="4" borderId="17" xfId="0">
      <alignment horizontal="left" vertical="center" wrapText="1"/>
    </xf>
    <xf numFmtId="300" fontId="7" fillId="2" borderId="11" xfId="0">
      <alignment horizontal="center" vertical="center" wrapText="1"/>
    </xf>
    <xf numFmtId="0" fontId="7" fillId="5" borderId="15" xfId="0" applyNumberFormat="1" applyFont="1" applyFill="1" applyBorder="1" applyAlignment="1">
      <alignment horizontal="center" vertical="center" wrapText="1"/>
    </xf>
    <xf numFmtId="0" fontId="7" fillId="4" borderId="18" xfId="0">
      <alignment horizontal="center" vertical="center" wrapText="1"/>
    </xf>
    <xf numFmtId="301" fontId="7" fillId="4" borderId="15" xfId="0" applyNumberFormat="1" applyFont="1" applyFill="1" applyBorder="1" applyAlignment="1">
      <alignment horizontal="center" vertical="center" wrapText="1"/>
    </xf>
    <xf fontId="9" fillId="9" borderId="0" xfId="0">
      <alignment vertical="center"/>
    </xf>
    <xf numFmtId="0" fontId="7" fillId="2" borderId="11" xfId="0">
      <alignment horizontal="center" vertical="center" wrapText="1"/>
    </xf>
    <xf numFmtId="0" fontId="10" fillId="7" borderId="19" xfId="0" applyNumberFormat="1" applyFont="1" applyFill="1" applyBorder="1" applyAlignment="1">
      <alignment horizontal="center" vertical="center"/>
    </xf>
    <xf numFmtId="0" fontId="11" fillId="7" borderId="20" xfId="0" applyNumberFormat="1" applyFont="1" applyFill="1" applyBorder="1" applyAlignment="1">
      <alignment horizontal="center" vertical="center" wrapText="0"/>
    </xf>
    <xf numFmtId="0" fontId="10" fillId="7" borderId="20" xfId="0" applyNumberFormat="1" applyFont="1" applyFill="1" applyBorder="1" applyAlignment="1">
      <alignment horizontal="center" vertical="center" wrapText="1"/>
    </xf>
    <xf numFmtId="0" fontId="7" fillId="4" borderId="21" xfId="0" applyNumberFormat="1" applyFont="1" applyFill="1" applyBorder="1" applyAlignment="1">
      <alignment horizontal="center" vertical="center" wrapText="1"/>
    </xf>
    <xf numFmtId="67" fontId="7" fillId="2" borderId="21" xfId="0">
      <alignment horizontal="center" vertical="center" wrapText="1"/>
    </xf>
    <xf fontId="9" fillId="0" borderId="0" xfId="0">
      <alignment vertical="center"/>
    </xf>
    <xf numFmtId="0" fontId="7" fillId="5" borderId="21" xfId="0" applyNumberFormat="1" applyFont="1" applyFill="1" applyBorder="1" applyAlignment="1">
      <alignment horizontal="center" vertical="center" wrapText="1"/>
    </xf>
    <xf numFmtId="0" fontId="7" fillId="4" borderId="22" xfId="0">
      <alignment horizontal="center" vertical="center" wrapText="1"/>
    </xf>
    <xf numFmtId="300" fontId="7" fillId="4" borderId="21" xfId="0" applyNumberFormat="1" applyFont="1" applyFill="1" applyBorder="1" applyAlignment="1">
      <alignment horizontal="center" vertical="center" wrapText="1"/>
    </xf>
    <xf numFmtId="301" fontId="7" fillId="4" borderId="21" xfId="0" applyNumberFormat="1" applyFont="1" applyFill="1" applyBorder="1" applyAlignment="1">
      <alignment horizontal="center" vertical="center" wrapText="1"/>
    </xf>
    <xf numFmtId="0" fontId="7" fillId="4" borderId="21" xfId="0">
      <alignment horizontal="center" vertical="center" wrapText="1"/>
    </xf>
    <xf numFmtId="0" fontId="7" fillId="4" borderId="21" xfId="0" applyNumberFormat="1" applyFont="1" applyFill="1" applyBorder="1" applyAlignment="1">
      <alignment horizontal="left" vertical="center" wrapText="1"/>
    </xf>
    <xf numFmtId="0" fontId="7" fillId="4" borderId="23" xfId="0">
      <alignment horizontal="left" vertical="center" wrapText="1"/>
    </xf>
    <xf numFmtId="0" fontId="7" fillId="4" borderId="7" xfId="0">
      <alignment horizontal="center" vertical="center" wrapText="1"/>
    </xf>
    <xf numFmtId="300" fontId="7" fillId="4" borderId="10" xfId="0">
      <alignment horizontal="center" vertical="center" wrapText="1"/>
    </xf>
    <xf numFmtId="0" fontId="7" fillId="4" borderId="12" xfId="0" applyNumberFormat="1" applyFont="1" applyFill="1" applyBorder="1" applyAlignment="1">
      <alignment horizontal="left" vertical="center" wrapText="1"/>
    </xf>
    <xf numFmtId="300" fontId="7" fillId="4" borderId="15" xfId="0">
      <alignment horizontal="center" vertical="center" wrapText="1"/>
    </xf>
    <xf numFmtId="0" fontId="7" fillId="2" borderId="11" xfId="0" applyNumberFormat="1" applyFont="1" applyFill="1" applyBorder="1" applyAlignment="1">
      <alignment horizontal="center" vertical="center" wrapText="1"/>
    </xf>
    <xf numFmtId="300" fontId="7" fillId="4" borderId="11" xfId="0">
      <alignment horizontal="center" vertical="center" wrapText="1"/>
    </xf>
    <xf numFmtId="0" fontId="7" fillId="4" borderId="11" xfId="0">
      <alignment horizontal="center" vertical="center" wrapText="1"/>
    </xf>
    <xf numFmtId="0" fontId="7" fillId="4" borderId="24" xfId="0">
      <alignment horizontal="center" vertical="center" wrapText="1"/>
    </xf>
    <xf numFmtId="0" fontId="7" fillId="4" borderId="11" xfId="0" applyNumberFormat="1" applyFont="1" applyFill="1" applyBorder="1" applyAlignment="1">
      <alignment horizontal="left" vertical="center" wrapText="1"/>
    </xf>
    <xf numFmtId="0" fontId="7" fillId="4" borderId="17" xfId="0" applyNumberFormat="1" applyFont="1" applyFill="1" applyBorder="1" applyAlignment="1">
      <alignment horizontal="left" vertical="center" wrapText="1"/>
    </xf>
    <xf numFmtId="300" fontId="7" fillId="2" borderId="15" xfId="0">
      <alignment horizontal="center" vertical="center" wrapText="1"/>
    </xf>
    <xf numFmtId="0" fontId="7" fillId="8" borderId="24" xfId="0">
      <alignment horizontal="center" vertical="center" wrapText="1"/>
    </xf>
    <xf numFmtId="0" fontId="7" fillId="7" borderId="25" xfId="0">
      <alignment horizontal="center" vertical="center" wrapText="1"/>
    </xf>
    <xf numFmtId="0" fontId="7" fillId="4" borderId="23" xfId="0" applyNumberFormat="1" applyFont="1" applyFill="1" applyBorder="1" applyAlignment="1">
      <alignment horizontal="left" vertical="center" wrapText="1"/>
    </xf>
    <xf numFmtId="301" fontId="7" fillId="4" borderId="26" xfId="0" applyNumberFormat="1" applyFont="1" applyFill="1" applyBorder="1" applyAlignment="1">
      <alignment horizontal="center" vertical="center" wrapText="1"/>
    </xf>
    <xf numFmtId="0" fontId="7" fillId="7" borderId="27" xfId="0" applyNumberFormat="1" applyFont="1" applyFill="1" applyBorder="1" applyAlignment="1">
      <alignment horizontal="left" vertical="center" wrapText="1"/>
    </xf>
    <xf numFmtId="0" fontId="7" fillId="8" borderId="21" xfId="0" applyNumberFormat="1" applyFont="1" applyFill="1" applyBorder="1" applyAlignment="1">
      <alignment horizontal="center" vertical="center" wrapText="1"/>
    </xf>
    <xf numFmtId="0" fontId="7" fillId="8" borderId="22" xfId="0">
      <alignment horizontal="center" vertical="center" wrapText="1"/>
    </xf>
    <xf numFmtId="300" fontId="7" fillId="8" borderId="21" xfId="0" applyNumberFormat="1" applyFont="1" applyFill="1" applyBorder="1" applyAlignment="1">
      <alignment horizontal="center" vertical="center" wrapText="1"/>
    </xf>
    <xf numFmtId="0" fontId="7" fillId="4" borderId="10" xfId="0" applyNumberFormat="1" applyFont="1" applyFill="1" applyBorder="1" applyAlignment="1">
      <alignment horizontal="center" vertical="center" wrapText="1"/>
    </xf>
    <xf numFmtId="0" fontId="7" fillId="8" borderId="11" xfId="0">
      <alignment horizontal="center" vertical="center" wrapText="1"/>
    </xf>
    <xf numFmtId="0" fontId="7" fillId="8" borderId="18" xfId="0">
      <alignment horizontal="center" vertical="center" wrapText="1"/>
    </xf>
    <xf numFmtId="300" fontId="7" fillId="8" borderId="15" xfId="0">
      <alignment horizontal="center" vertical="center" wrapText="1"/>
    </xf>
    <xf numFmtId="0" fontId="7" fillId="0" borderId="28" xfId="0">
      <alignment horizontal="center" vertical="center" wrapText="1"/>
    </xf>
    <xf numFmtId="0" fontId="7" fillId="4" borderId="29" xfId="0">
      <alignment horizontal="center" vertical="center" wrapText="1"/>
    </xf>
    <xf numFmtId="0" fontId="8" fillId="2" borderId="30" xfId="0" applyNumberFormat="1" applyFont="1" applyFill="1" applyBorder="1" applyAlignment="1">
      <alignment horizontal="center" vertical="center" wrapText="0"/>
    </xf>
    <xf numFmtId="0" fontId="7" fillId="4" borderId="30" xfId="0">
      <alignment horizontal="center" vertical="center" wrapText="1"/>
    </xf>
    <xf numFmtId="300" fontId="7" fillId="2" borderId="10" xfId="0">
      <alignment horizontal="center" vertical="center" wrapText="1"/>
    </xf>
    <xf numFmtId="0" fontId="7" fillId="5" borderId="10" xfId="0">
      <alignment horizontal="center" vertical="center" wrapText="1"/>
    </xf>
    <xf numFmtId="300" fontId="7" fillId="4" borderId="31" xfId="0">
      <alignment horizontal="center" vertical="center" wrapText="1"/>
    </xf>
    <xf numFmtId="301" fontId="7" fillId="4" borderId="32" xfId="0" applyNumberFormat="1" applyFont="1" applyFill="1" applyBorder="1" applyAlignment="1">
      <alignment horizontal="center" vertical="center" wrapText="1"/>
    </xf>
    <xf numFmtId="0" fontId="7" fillId="4" borderId="10" xfId="0">
      <alignment horizontal="left" vertical="center" wrapText="1"/>
    </xf>
    <xf numFmtId="0" fontId="7" fillId="4" borderId="33" xfId="0" applyNumberFormat="1" applyFont="1" applyFill="1" applyBorder="1" applyAlignment="1">
      <alignment horizontal="left" vertical="center" wrapText="1"/>
    </xf>
    <xf numFmtId="0" fontId="12" fillId="4" borderId="34" xfId="0" applyNumberFormat="1" applyFont="1" applyFill="1" applyBorder="1" applyAlignment="1">
      <alignment vertical="center"/>
    </xf>
    <xf numFmtId="0" fontId="11" fillId="7" borderId="35" xfId="0" applyNumberFormat="1" applyFont="1" applyFill="1" applyBorder="1" applyAlignment="1">
      <alignment horizontal="center" vertical="center" wrapText="0"/>
    </xf>
    <xf numFmtId="0" fontId="10" fillId="7" borderId="35" xfId="0" applyNumberFormat="1" applyFont="1" applyFill="1" applyBorder="1" applyAlignment="1">
      <alignment horizontal="center" vertical="center" wrapText="1"/>
    </xf>
    <xf numFmtId="0" fontId="7" fillId="5" borderId="11" xfId="0">
      <alignment horizontal="center" vertical="center" wrapText="1"/>
    </xf>
    <xf numFmtId="0" fontId="7" fillId="4" borderId="36" xfId="0">
      <alignment horizontal="center" vertical="center" wrapText="1"/>
    </xf>
    <xf numFmtId="0" fontId="7" fillId="4" borderId="37" xfId="0" applyNumberFormat="1" applyFont="1" applyFill="1" applyBorder="1" applyAlignment="1">
      <alignment horizontal="left" vertical="center" wrapText="1"/>
    </xf>
    <xf numFmtId="0" fontId="7" fillId="2" borderId="36" xfId="0">
      <alignment horizontal="center" vertical="center" wrapText="1"/>
    </xf>
    <xf numFmtId="0" fontId="7" fillId="7" borderId="38" xfId="0">
      <alignment horizontal="left" vertical="center" wrapText="1"/>
    </xf>
    <xf numFmtId="0" fontId="7" fillId="4" borderId="37" xfId="0">
      <alignment horizontal="left" vertical="center" wrapText="1"/>
    </xf>
    <xf numFmtId="0" fontId="11" fillId="7" borderId="28" xfId="0" applyNumberFormat="1" applyFont="1" applyFill="1" applyBorder="1" applyAlignment="1">
      <alignment horizontal="center" vertical="center" wrapText="0"/>
    </xf>
    <xf numFmtId="0" fontId="10" fillId="7" borderId="28" xfId="0" applyNumberFormat="1" applyFont="1" applyFill="1" applyBorder="1" applyAlignment="1">
      <alignment horizontal="center" vertical="center" wrapText="1"/>
    </xf>
    <xf numFmtId="0" fontId="7" fillId="4" borderId="22" xfId="0" applyNumberFormat="1" applyFont="1" applyFill="1" applyBorder="1" applyAlignment="1">
      <alignment horizontal="center" vertical="center" wrapText="1"/>
    </xf>
    <xf numFmtId="67" fontId="7" fillId="2" borderId="22" xfId="0">
      <alignment horizontal="center" vertical="center" wrapText="1"/>
    </xf>
    <xf numFmtId="300" fontId="7" fillId="8" borderId="22" xfId="0">
      <alignment horizontal="center" vertical="center" wrapText="1"/>
    </xf>
    <xf numFmtId="300" fontId="7" fillId="8" borderId="22" xfId="0" applyNumberFormat="1" applyFont="1" applyFill="1" applyBorder="1" applyAlignment="1">
      <alignment horizontal="center" vertical="center" wrapText="1"/>
    </xf>
    <xf numFmtId="0" fontId="7" fillId="8" borderId="22" xfId="0" applyNumberFormat="1" applyFont="1" applyFill="1" applyBorder="1" applyAlignment="1">
      <alignment horizontal="center" vertical="center" wrapText="1"/>
    </xf>
    <xf numFmtId="300" fontId="7" fillId="8" borderId="39" xfId="0" applyNumberFormat="1" applyFont="1" applyFill="1" applyBorder="1" applyAlignment="1">
      <alignment horizontal="center" vertical="center" wrapText="1"/>
    </xf>
    <xf numFmtId="301" fontId="7" fillId="4" borderId="22" xfId="0" applyNumberFormat="1" applyFont="1" applyFill="1" applyBorder="1" applyAlignment="1">
      <alignment horizontal="center" vertical="center" wrapText="1"/>
    </xf>
    <xf numFmtId="0" fontId="7" fillId="4" borderId="22" xfId="0" applyNumberFormat="1" applyFont="1" applyFill="1" applyBorder="1" applyAlignment="1">
      <alignment horizontal="left" vertical="center" wrapText="1"/>
    </xf>
    <xf numFmtId="0" fontId="7" fillId="4" borderId="40" xfId="0" applyNumberFormat="1" applyFont="1" applyFill="1" applyBorder="1" applyAlignment="1">
      <alignment horizontal="left" vertical="center" wrapText="1"/>
    </xf>
    <xf numFmtId="0" fontId="7" fillId="4" borderId="30" xfId="0" applyNumberFormat="1" applyFont="1" applyFill="1" applyBorder="1" applyAlignment="1">
      <alignment horizontal="center" vertical="center" wrapText="1"/>
    </xf>
    <xf numFmtId="300" fontId="7" fillId="2" borderId="30" xfId="0">
      <alignment horizontal="center" vertical="center" wrapText="1"/>
    </xf>
    <xf numFmtId="300" fontId="7" fillId="4" borderId="30" xfId="0">
      <alignment horizontal="center" vertical="center" wrapText="1"/>
    </xf>
    <xf numFmtId="300" fontId="7" fillId="4" borderId="41" xfId="0">
      <alignment horizontal="center" vertical="center" wrapText="1"/>
    </xf>
    <xf numFmtId="301" fontId="7" fillId="4" borderId="42" xfId="0" applyNumberFormat="1" applyFont="1" applyFill="1" applyBorder="1" applyAlignment="1">
      <alignment horizontal="center" vertical="center" wrapText="1"/>
    </xf>
    <xf numFmtId="0" fontId="7" fillId="4" borderId="8" xfId="0">
      <alignment horizontal="center" vertical="center" wrapText="1"/>
    </xf>
    <xf numFmtId="0" fontId="7" fillId="4" borderId="30" xfId="0">
      <alignment horizontal="left" vertical="center" wrapText="1"/>
    </xf>
    <xf numFmtId="0" fontId="7" fillId="4" borderId="43" xfId="0" applyNumberFormat="1" applyFont="1" applyFill="1" applyBorder="1" applyAlignment="1">
      <alignment horizontal="left" vertical="center" wrapText="1"/>
    </xf>
    <xf numFmtId="300" fontId="7" fillId="4" borderId="35" xfId="0">
      <alignment horizontal="center" vertical="center" wrapText="1"/>
    </xf>
    <xf numFmtId="0" fontId="7" fillId="4" borderId="35" xfId="0" applyNumberFormat="1" applyFont="1" applyFill="1" applyBorder="1" applyAlignment="1">
      <alignment horizontal="center" vertical="center" wrapText="1"/>
    </xf>
    <xf numFmtId="0" fontId="7" fillId="2" borderId="35" xfId="0" applyNumberFormat="1" applyFont="1" applyFill="1" applyBorder="1" applyAlignment="1">
      <alignment horizontal="center" vertical="center" wrapText="1"/>
    </xf>
    <xf numFmtId="0" fontId="7" fillId="4" borderId="35" xfId="0">
      <alignment horizontal="center" vertical="center" wrapText="1"/>
    </xf>
    <xf numFmtId="0" fontId="7" fillId="4" borderId="44" xfId="0">
      <alignment horizontal="center" vertical="center" wrapText="1"/>
    </xf>
    <xf numFmtId="0" fontId="7" fillId="4" borderId="14" xfId="0">
      <alignment horizontal="center" vertical="center" wrapText="1"/>
    </xf>
    <xf numFmtId="0" fontId="7" fillId="4" borderId="35" xfId="0">
      <alignment horizontal="left" vertical="center" wrapText="1"/>
    </xf>
    <xf numFmtId="0" fontId="7" fillId="4" borderId="45" xfId="0" applyNumberFormat="1" applyFont="1" applyFill="1" applyBorder="1" applyAlignment="1">
      <alignment horizontal="left" vertical="center" wrapText="1"/>
    </xf>
    <xf numFmtId="300" fontId="7" fillId="2" borderId="35" xfId="0">
      <alignment horizontal="center" vertical="center" wrapText="1"/>
    </xf>
    <xf numFmtId="0" fontId="7" fillId="4" borderId="35" xfId="0" applyNumberFormat="1" applyFont="1" applyFill="1" applyBorder="1" applyAlignment="1">
      <alignment horizontal="left" vertical="center" wrapText="1"/>
    </xf>
    <xf numFmtId="0" fontId="7" fillId="2" borderId="35" xfId="0">
      <alignment horizontal="center" vertical="center" wrapText="1"/>
    </xf>
    <xf numFmtId="0" fontId="7" fillId="7" borderId="46" xfId="0">
      <alignment horizontal="left" vertical="center" wrapText="1"/>
    </xf>
    <xf numFmtId="0" fontId="7" fillId="4" borderId="28" xfId="0" applyNumberFormat="1" applyFont="1" applyFill="1" applyBorder="1" applyAlignment="1">
      <alignment horizontal="center" vertical="center" wrapText="1"/>
    </xf>
    <xf numFmtId="0" fontId="7" fillId="4" borderId="28" xfId="0">
      <alignment horizontal="center" vertical="center" wrapText="1"/>
    </xf>
    <xf numFmtId="67" fontId="7" fillId="2" borderId="28" xfId="0">
      <alignment horizontal="center" vertical="center" wrapText="1"/>
    </xf>
    <xf numFmtId="0" fontId="7" fillId="8" borderId="35" xfId="0">
      <alignment horizontal="center" vertical="center" wrapText="1"/>
    </xf>
    <xf numFmtId="0" fontId="7" fillId="8" borderId="28" xfId="0">
      <alignment horizontal="center" vertical="center" wrapText="1"/>
    </xf>
    <xf numFmtId="300" fontId="7" fillId="8" borderId="28" xfId="0">
      <alignment horizontal="center" vertical="center" wrapText="1"/>
    </xf>
    <xf numFmtId="300" fontId="7" fillId="8" borderId="28" xfId="0" applyNumberFormat="1" applyFont="1" applyFill="1" applyBorder="1" applyAlignment="1">
      <alignment horizontal="center" vertical="center" wrapText="1"/>
    </xf>
    <xf numFmtId="0" fontId="7" fillId="8" borderId="28" xfId="0" applyNumberFormat="1" applyFont="1" applyFill="1" applyBorder="1" applyAlignment="1">
      <alignment horizontal="center" vertical="center" wrapText="1"/>
    </xf>
    <xf numFmtId="300" fontId="7" fillId="8" borderId="47" xfId="0" applyNumberFormat="1" applyFont="1" applyFill="1" applyBorder="1" applyAlignment="1">
      <alignment horizontal="center" vertical="center" wrapText="1"/>
    </xf>
    <xf numFmtId="301" fontId="7" fillId="4" borderId="28" xfId="0" applyNumberFormat="1" applyFont="1" applyFill="1" applyBorder="1" applyAlignment="1">
      <alignment horizontal="center" vertical="center" wrapText="1"/>
    </xf>
    <xf numFmtId="0" fontId="7" fillId="4" borderId="20" xfId="0">
      <alignment horizontal="center" vertical="center" wrapText="1"/>
    </xf>
    <xf numFmtId="302" fontId="7" fillId="4" borderId="28" xfId="0" applyNumberFormat="1" applyFont="1" applyFill="1" applyBorder="1" applyAlignment="1">
      <alignment horizontal="left" vertical="center" wrapText="1"/>
    </xf>
    <xf numFmtId="0" fontId="7" fillId="4" borderId="45" xfId="0">
      <alignment horizontal="left" vertical="center" wrapText="1"/>
    </xf>
    <xf numFmtId="0" fontId="7" fillId="2" borderId="44" xfId="0">
      <alignment horizontal="center" vertical="center" wrapText="1"/>
    </xf>
    <xf numFmtId="0" fontId="7" fillId="4" borderId="28" xfId="0" applyNumberFormat="1" applyFont="1" applyFill="1" applyBorder="1" applyAlignment="1">
      <alignment horizontal="left" vertical="center" wrapText="1"/>
    </xf>
    <xf numFmtId="0" fontId="7" fillId="4" borderId="48" xfId="0" applyNumberFormat="1" applyFont="1" applyFill="1" applyBorder="1" applyAlignment="1">
      <alignment horizontal="left" vertical="center" wrapText="1"/>
    </xf>
    <xf numFmtId="0" fontId="7" fillId="10" borderId="35" xfId="0">
      <alignment horizontal="center" vertical="center" wrapText="1"/>
    </xf>
    <xf numFmtId="300" fontId="7" fillId="10" borderId="35" xfId="0">
      <alignment horizontal="center" vertical="center" wrapText="1"/>
    </xf>
    <xf numFmtId="0" fontId="7" fillId="10" borderId="44" xfId="0">
      <alignment horizontal="center" vertical="center" wrapText="1"/>
    </xf>
    <xf numFmtId="300" fontId="7" fillId="4" borderId="49" xfId="0">
      <alignment horizontal="center" vertical="center" wrapText="1"/>
    </xf>
    <xf numFmtId="300" fontId="7" fillId="4" borderId="35" xfId="0" applyNumberFormat="1" applyFont="1" applyFill="1" applyBorder="1" applyAlignment="1">
      <alignment horizontal="center" vertical="center" wrapText="1"/>
    </xf>
    <xf numFmtId="0" fontId="7" fillId="4" borderId="50" xfId="0" applyNumberFormat="1" applyFont="1" applyFill="1" applyBorder="1" applyAlignment="1">
      <alignment horizontal="center" vertical="center" wrapText="1"/>
    </xf>
    <xf numFmtId="301" fontId="7" fillId="4" borderId="51" xfId="0" applyNumberFormat="1" applyFont="1" applyFill="1" applyBorder="1" applyAlignment="1">
      <alignment horizontal="center" vertical="center" wrapText="1"/>
    </xf>
    <xf numFmtId="0" fontId="7" fillId="7" borderId="46" xfId="0" applyNumberFormat="1" applyFont="1" applyFill="1" applyBorder="1" applyAlignment="1">
      <alignment horizontal="left" vertical="center" wrapText="1"/>
    </xf>
    <xf numFmtId="301" fontId="7" fillId="4" borderId="52" xfId="0" applyNumberFormat="1" applyFont="1" applyFill="1" applyBorder="1" applyAlignment="1">
      <alignment horizontal="center" vertical="center" wrapText="1"/>
    </xf>
    <xf numFmtId="300" fontId="7" fillId="4" borderId="49" xfId="0" applyNumberFormat="1" applyFont="1" applyFill="1" applyBorder="1" applyAlignment="1">
      <alignment horizontal="center" vertical="center" wrapText="1"/>
    </xf>
    <xf numFmtId="0" fontId="7" fillId="11" borderId="35" xfId="0" applyNumberFormat="1" applyFont="1" applyFill="1" applyBorder="1" applyAlignment="1">
      <alignment horizontal="center" vertical="center" wrapText="1"/>
    </xf>
    <xf numFmtId="0" fontId="7" fillId="11" borderId="35" xfId="0">
      <alignment horizontal="center" vertical="center" wrapText="1"/>
    </xf>
    <xf numFmtId="300" fontId="7" fillId="11" borderId="35" xfId="0">
      <alignment horizontal="center" vertical="center" wrapText="1"/>
    </xf>
    <xf numFmtId="300" fontId="7" fillId="11" borderId="35" xfId="0" applyNumberFormat="1" applyFont="1" applyFill="1" applyBorder="1" applyAlignment="1">
      <alignment horizontal="center" vertical="center" wrapText="1"/>
    </xf>
    <xf numFmtId="0" fontId="7" fillId="11" borderId="50" xfId="0" applyNumberFormat="1" applyFont="1" applyFill="1" applyBorder="1" applyAlignment="1">
      <alignment horizontal="center" vertical="center" wrapText="1"/>
    </xf>
    <xf numFmtId="72" fontId="7" fillId="11" borderId="46" xfId="0" applyNumberFormat="1" applyFont="1" applyFill="1" applyBorder="1" applyAlignment="1">
      <alignment horizontal="center" vertical="center" wrapText="1"/>
    </xf>
    <xf numFmtId="301" fontId="7" fillId="4" borderId="35" xfId="0" applyNumberFormat="1" applyFont="1" applyFill="1" applyBorder="1" applyAlignment="1">
      <alignment horizontal="center" vertical="center" wrapText="1"/>
    </xf>
    <xf numFmtId="0" fontId="7" fillId="2" borderId="28" xfId="0">
      <alignment horizontal="center" vertical="center" wrapText="1"/>
    </xf>
    <xf numFmtId="300" fontId="7" fillId="2" borderId="28" xfId="0">
      <alignment horizontal="center" vertical="center" wrapText="1"/>
    </xf>
    <xf numFmtId="300" fontId="7" fillId="2" borderId="28" xfId="0" applyNumberFormat="1" applyFont="1" applyFill="1" applyBorder="1" applyAlignment="1">
      <alignment horizontal="center" vertical="center" wrapText="1"/>
    </xf>
    <xf numFmtId="0" fontId="7" fillId="2" borderId="28" xfId="0" applyNumberFormat="1" applyFont="1" applyFill="1" applyBorder="1" applyAlignment="1">
      <alignment horizontal="center" vertical="center" wrapText="1"/>
    </xf>
    <xf numFmtId="300" fontId="7" fillId="2" borderId="47" xfId="0" applyNumberFormat="1" applyFont="1" applyFill="1" applyBorder="1" applyAlignment="1">
      <alignment horizontal="center" vertical="center" wrapText="1"/>
    </xf>
    <xf numFmtId="0" fontId="7" fillId="4" borderId="53" xfId="0">
      <alignment horizontal="center" vertical="center" wrapText="1"/>
    </xf>
    <xf numFmtId="300" fontId="7" fillId="12" borderId="35" xfId="0" applyNumberFormat="1" applyFont="1" applyFill="1" applyBorder="1" applyAlignment="1">
      <alignment horizontal="center" vertical="center" wrapText="1"/>
    </xf>
    <xf numFmtId="72" fontId="7" fillId="4" borderId="46" xfId="0" applyNumberFormat="1" applyFont="1" applyFill="1" applyBorder="1" applyAlignment="1">
      <alignment horizontal="center" vertical="center" wrapText="1"/>
    </xf>
    <xf numFmtId="0" fontId="7" fillId="7" borderId="29" xfId="0">
      <alignment horizontal="center" vertical="center" wrapText="1"/>
    </xf>
    <xf numFmtId="0" fontId="7" fillId="2" borderId="30" xfId="0">
      <alignment horizontal="center" vertical="center" wrapText="1"/>
    </xf>
    <xf numFmtId="0" fontId="7" fillId="2" borderId="30" xfId="0" applyNumberFormat="1" applyFont="1" applyFill="1" applyBorder="1" applyAlignment="1">
      <alignment horizontal="center" vertical="center" wrapText="1"/>
    </xf>
    <xf numFmtId="300" fontId="7" fillId="2" borderId="41" xfId="0">
      <alignment horizontal="center" vertical="center" wrapText="1"/>
    </xf>
    <xf numFmtId="301" fontId="7" fillId="2" borderId="52" xfId="0" applyNumberFormat="1" applyFont="1" applyFill="1" applyBorder="1" applyAlignment="1">
      <alignment horizontal="center" vertical="center" wrapText="1"/>
    </xf>
    <xf numFmtId="300" fontId="7" fillId="7" borderId="35" xfId="0">
      <alignment horizontal="center" vertical="center" wrapText="1"/>
    </xf>
    <xf numFmtId="0" fontId="7" fillId="7" borderId="35" xfId="0" applyNumberFormat="1" applyFont="1" applyFill="1" applyBorder="1" applyAlignment="1">
      <alignment horizontal="center" vertical="center" wrapText="1"/>
    </xf>
    <xf numFmtId="300" fontId="7" fillId="8" borderId="35" xfId="0">
      <alignment horizontal="center" vertical="center" wrapText="1"/>
    </xf>
    <xf numFmtId="0" fontId="7" fillId="8" borderId="44" xfId="0">
      <alignment horizontal="center" vertical="center" wrapText="1"/>
    </xf>
    <xf numFmtId="0" fontId="7" fillId="7" borderId="35" xfId="0">
      <alignment horizontal="center" vertical="center" wrapText="1"/>
    </xf>
    <xf numFmtId="0" fontId="7" fillId="7" borderId="46" xfId="0" applyNumberFormat="1" applyFont="1" applyFill="1" applyBorder="1" applyAlignment="1">
      <alignment horizontal="center" vertical="center" wrapText="1"/>
    </xf>
    <xf numFmtId="0" fontId="7" fillId="7" borderId="28" xfId="0" applyNumberFormat="1" applyFont="1" applyFill="1" applyBorder="1" applyAlignment="1">
      <alignment horizontal="center" vertical="center" wrapText="1"/>
    </xf>
    <xf numFmtId="300" fontId="7" fillId="4" borderId="28" xfId="0">
      <alignment horizontal="center" vertical="center" wrapText="1"/>
    </xf>
    <xf numFmtId="300" fontId="7" fillId="4" borderId="28" xfId="0" applyNumberFormat="1" applyFont="1" applyFill="1" applyBorder="1" applyAlignment="1">
      <alignment horizontal="center" vertical="center" wrapText="1"/>
    </xf>
    <xf numFmtId="300" fontId="7" fillId="4" borderId="47" xfId="0" applyNumberFormat="1" applyFont="1" applyFill="1" applyBorder="1" applyAlignment="1">
      <alignment horizontal="center" vertical="center" wrapText="1"/>
    </xf>
    <xf numFmtId="301" fontId="7" fillId="2" borderId="42" xfId="0" applyNumberFormat="1" applyFont="1" applyFill="1" applyBorder="1" applyAlignment="1">
      <alignment horizontal="center" vertical="center" wrapText="1"/>
    </xf>
    <xf numFmtId="300" fontId="7" fillId="8" borderId="35" xfId="0" applyNumberFormat="1" applyFont="1" applyFill="1" applyBorder="1" applyAlignment="1">
      <alignment horizontal="center" vertical="center" wrapText="1"/>
    </xf>
    <xf numFmtId="0" fontId="7" fillId="8" borderId="35" xfId="0" applyNumberFormat="1" applyFont="1" applyFill="1" applyBorder="1" applyAlignment="1">
      <alignment horizontal="center" vertical="center" wrapText="1"/>
    </xf>
    <xf numFmtId="0" fontId="7" fillId="8" borderId="50" xfId="0" applyNumberFormat="1" applyFont="1" applyFill="1" applyBorder="1" applyAlignment="1">
      <alignment horizontal="center" vertical="center" wrapText="1"/>
    </xf>
    <xf numFmtId="300" fontId="7" fillId="8" borderId="46" xfId="0" applyNumberFormat="1" applyFont="1" applyFill="1" applyBorder="1" applyAlignment="1">
      <alignment horizontal="center" vertical="center" wrapText="1"/>
    </xf>
    <xf numFmtId="0" fontId="7" fillId="4" borderId="29" xfId="0" applyNumberFormat="1" applyFont="1" applyFill="1" applyBorder="1" applyAlignment="1">
      <alignment horizontal="center" vertical="center" wrapText="1"/>
    </xf>
    <xf numFmtId="300" fontId="7" fillId="4" borderId="10" xfId="0" applyNumberFormat="1" applyFont="1" applyFill="1" applyBorder="1" applyAlignment="1">
      <alignment horizontal="center" vertical="center" wrapText="1"/>
    </xf>
    <xf numFmtId="300" fontId="7" fillId="4" borderId="31" xfId="0" applyNumberFormat="1" applyFont="1" applyFill="1" applyBorder="1" applyAlignment="1">
      <alignment horizontal="center" vertical="center" wrapText="1"/>
    </xf>
    <xf numFmtId="301" fontId="7" fillId="4" borderId="54" xfId="0" applyNumberFormat="1" applyFont="1" applyFill="1" applyBorder="1" applyAlignment="1">
      <alignment horizontal="center" vertical="center" wrapText="1"/>
    </xf>
    <xf numFmtId="300" fontId="7" fillId="4" borderId="11" xfId="0" applyNumberFormat="1" applyFont="1" applyFill="1" applyBorder="1" applyAlignment="1">
      <alignment horizontal="center" vertical="center" wrapText="1"/>
    </xf>
    <xf numFmtId="0" fontId="7" fillId="4" borderId="36" xfId="0" applyNumberFormat="1" applyFont="1" applyFill="1" applyBorder="1" applyAlignment="1">
      <alignment horizontal="center" vertical="center" wrapText="1"/>
    </xf>
    <xf numFmtId="0" fontId="7" fillId="4" borderId="55" xfId="0" applyNumberFormat="1" applyFont="1" applyFill="1" applyBorder="1" applyAlignment="1">
      <alignment horizontal="center" vertical="center" wrapText="1"/>
    </xf>
    <xf numFmtId="300" fontId="7" fillId="4" borderId="56" xfId="0" applyNumberFormat="1" applyFont="1" applyFill="1" applyBorder="1" applyAlignment="1">
      <alignment horizontal="center" vertical="center" wrapText="1"/>
    </xf>
    <xf numFmtId="300" fontId="7" fillId="8" borderId="39" xfId="0">
      <alignment horizontal="center" vertical="center" wrapText="1"/>
    </xf>
    <xf numFmtId="301" fontId="7" fillId="4" borderId="22" xfId="0">
      <alignment horizontal="center" vertical="center" wrapText="1"/>
    </xf>
    <xf numFmtId="0" fontId="7" fillId="4" borderId="57" xfId="0" applyNumberFormat="1" applyFont="1" applyFill="1" applyBorder="1" applyAlignment="1">
      <alignment horizontal="center" vertical="center" wrapText="1"/>
    </xf>
    <xf numFmtId="0" fontId="8" fillId="2" borderId="10" xfId="0" applyNumberFormat="1" applyFont="1" applyFill="1" applyBorder="1" applyAlignment="1">
      <alignment horizontal="center" vertical="center" wrapText="0"/>
    </xf>
    <xf numFmtId="300" fontId="7" fillId="2" borderId="10" xfId="0" applyNumberFormat="1" applyFont="1" applyFill="1" applyBorder="1" applyAlignment="1">
      <alignment horizontal="center" vertical="center" wrapText="1"/>
    </xf>
    <xf numFmtId="300" fontId="7" fillId="4" borderId="58" xfId="0" applyNumberFormat="1" applyFont="1" applyFill="1" applyBorder="1" applyAlignment="1">
      <alignment horizontal="center" vertical="center" wrapText="1"/>
    </xf>
    <xf numFmtId="301" fontId="7" fillId="4" borderId="59" xfId="0" applyNumberFormat="1" applyFont="1" applyFill="1" applyBorder="1" applyAlignment="1">
      <alignment horizontal="center" vertical="center" wrapText="1"/>
    </xf>
    <xf numFmtId="0" fontId="12" fillId="2" borderId="60" xfId="0" applyNumberFormat="1" applyFont="1" applyFill="1" applyBorder="1" applyAlignment="1">
      <alignment vertical="center"/>
    </xf>
    <xf numFmtId="0" fontId="11" fillId="7" borderId="11" xfId="0" applyNumberFormat="1" applyFont="1" applyFill="1" applyBorder="1" applyAlignment="1">
      <alignment horizontal="center" vertical="center" wrapText="0"/>
    </xf>
    <xf numFmtId="0" fontId="10" fillId="7" borderId="11" xfId="0" applyNumberFormat="1" applyFont="1" applyFill="1" applyBorder="1" applyAlignment="1">
      <alignment horizontal="center" vertical="center" wrapText="1"/>
    </xf>
    <xf numFmtId="0" fontId="7" fillId="4" borderId="61" xfId="0" applyNumberFormat="1" applyFont="1" applyFill="1" applyBorder="1" applyAlignment="1">
      <alignment horizontal="center" vertical="center" wrapText="1"/>
    </xf>
    <xf numFmtId="300" fontId="7" fillId="2" borderId="11" xfId="0" applyNumberFormat="1" applyFont="1" applyFill="1" applyBorder="1" applyAlignment="1">
      <alignment horizontal="center" vertical="center" wrapText="1"/>
    </xf>
    <xf numFmtId="0" fontId="7" fillId="4" borderId="62" xfId="0" applyNumberFormat="1" applyFont="1" applyFill="1" applyBorder="1" applyAlignment="1">
      <alignment horizontal="center" vertical="center" wrapText="1"/>
    </xf>
    <xf numFmtId="0" fontId="7" fillId="2" borderId="62" xfId="0" applyNumberFormat="1" applyFont="1" applyFill="1" applyBorder="1" applyAlignment="1">
      <alignment horizontal="center" vertical="center" wrapText="1"/>
    </xf>
    <xf numFmtId="300" fontId="7" fillId="2" borderId="56" xfId="0" applyNumberFormat="1" applyFont="1" applyFill="1" applyBorder="1" applyAlignment="1">
      <alignment horizontal="center" vertical="center" wrapText="1"/>
    </xf>
    <xf numFmtId="301" fontId="7" fillId="4" borderId="11" xfId="0" applyNumberFormat="1" applyFont="1" applyFill="1" applyBorder="1" applyAlignment="1">
      <alignment horizontal="center" vertical="center" wrapText="1"/>
    </xf>
    <xf numFmtId="0" fontId="11" fillId="7" borderId="22" xfId="0" applyNumberFormat="1" applyFont="1" applyFill="1" applyBorder="1" applyAlignment="1">
      <alignment horizontal="center" vertical="center" wrapText="0"/>
    </xf>
    <xf numFmtId="0" fontId="10" fillId="7" borderId="22" xfId="0" applyNumberFormat="1" applyFont="1" applyFill="1" applyBorder="1" applyAlignment="1">
      <alignment horizontal="center" vertical="center" wrapText="1"/>
    </xf>
    <xf numFmtId="9" fontId="7" fillId="2" borderId="22" xfId="0" applyNumberFormat="1" applyFont="1" applyFill="1" applyBorder="1" applyAlignment="1">
      <alignment horizontal="center" vertical="center" wrapText="1"/>
    </xf>
    <xf numFmtId="0" fontId="7" fillId="8" borderId="11" xfId="0" applyNumberFormat="1" applyFont="1" applyFill="1" applyBorder="1" applyAlignment="1">
      <alignment horizontal="center" vertical="center" wrapText="1"/>
    </xf>
    <xf numFmtId="0" fontId="7" fillId="4" borderId="10" xfId="0" applyNumberFormat="1" applyFont="1" applyFill="1" applyBorder="1" applyAlignment="1">
      <alignment horizontal="left" vertical="center" wrapText="1"/>
    </xf>
    <xf numFmtId="0" fontId="12" fillId="2" borderId="63" xfId="0">
      <alignment vertical="center"/>
    </xf>
    <xf numFmtId="300" fontId="7" fillId="4" borderId="64" xfId="0" applyNumberFormat="1" applyFont="1" applyFill="1" applyBorder="1" applyAlignment="1">
      <alignment horizontal="center" vertical="center" wrapText="1"/>
    </xf>
    <xf numFmtId="0" fontId="12" fillId="13" borderId="63" xfId="0">
      <alignment vertical="center"/>
    </xf>
    <xf numFmtId="67" fontId="7" fillId="2" borderId="22" xfId="0" applyNumberFormat="1" applyFont="1" applyFill="1" applyBorder="1" applyAlignment="1">
      <alignment horizontal="center" vertical="center" wrapText="1"/>
    </xf>
    <xf numFmtId="0" fontId="11" fillId="14" borderId="11" xfId="0" applyNumberFormat="1" applyFont="1" applyFill="1" applyBorder="1" applyAlignment="1">
      <alignment horizontal="center" vertical="center" wrapText="0"/>
    </xf>
    <xf numFmtId="0" fontId="11" fillId="14" borderId="22" xfId="0" applyNumberFormat="1" applyFont="1" applyFill="1" applyBorder="1" applyAlignment="1">
      <alignment horizontal="center" vertical="center" wrapText="0"/>
    </xf>
    <xf numFmtId="0" fontId="7" fillId="15" borderId="11" xfId="0" applyNumberFormat="1" applyFont="1" applyFill="1" applyBorder="1" applyAlignment="1">
      <alignment horizontal="center" vertical="center" wrapText="1"/>
    </xf>
    <xf numFmtId="0" fontId="7" fillId="15" borderId="22" xfId="0" applyNumberFormat="1" applyFont="1" applyFill="1" applyBorder="1" applyAlignment="1">
      <alignment horizontal="center" vertical="center" wrapText="1"/>
    </xf>
    <xf numFmtId="300" fontId="7" fillId="15" borderId="22" xfId="0" applyNumberFormat="1" applyFont="1" applyFill="1" applyBorder="1" applyAlignment="1">
      <alignment horizontal="center" vertical="center" wrapText="1"/>
    </xf>
    <xf numFmtId="300" fontId="7" fillId="15" borderId="39" xfId="0" applyNumberFormat="1" applyFont="1" applyFill="1" applyBorder="1" applyAlignment="1">
      <alignment horizontal="center" vertical="center" wrapText="1"/>
    </xf>
    <xf numFmtId="0" fontId="8" fillId="2" borderId="10" xfId="0">
      <alignment horizontal="center" vertical="center" wrapText="0"/>
    </xf>
    <xf fontId="13" fillId="0" borderId="65" xfId="0">
      <alignment vertical="center" wrapText="0"/>
    </xf>
    <xf numFmtId="0" fontId="7" fillId="5" borderId="11" xfId="0" applyNumberFormat="1" applyFont="1" applyFill="1" applyBorder="1" applyAlignment="1">
      <alignment horizontal="center" vertical="center" wrapText="1"/>
    </xf>
    <xf numFmtId="0" fontId="7" fillId="12" borderId="11" xfId="0" applyNumberFormat="1" applyFont="1" applyFill="1" applyBorder="1" applyAlignment="1">
      <alignment horizontal="center" vertical="center" wrapText="1"/>
    </xf>
    <xf numFmtId="300" fontId="7" fillId="3" borderId="11" xfId="0" applyNumberFormat="1" applyFont="1" applyFill="1" applyBorder="1" applyAlignment="1">
      <alignment horizontal="center" vertical="center" wrapText="1"/>
    </xf>
    <xf numFmtId="300" fontId="7" fillId="12" borderId="11" xfId="0" applyNumberFormat="1" applyFont="1" applyFill="1" applyBorder="1" applyAlignment="1">
      <alignment horizontal="center" vertical="center" wrapText="1"/>
    </xf>
    <xf numFmtId="0" fontId="7" fillId="12" borderId="62" xfId="0" applyNumberFormat="1" applyFont="1" applyFill="1" applyBorder="1" applyAlignment="1">
      <alignment horizontal="center" vertical="center" wrapText="1"/>
    </xf>
    <xf numFmtId="300" fontId="7" fillId="12" borderId="64" xfId="0" applyNumberFormat="1" applyFont="1" applyFill="1" applyBorder="1" applyAlignment="1">
      <alignment horizontal="center" vertical="center" wrapText="1"/>
    </xf>
    <xf numFmtId="301" fontId="7" fillId="12" borderId="26" xfId="0" applyNumberFormat="1" applyFont="1" applyFill="1" applyBorder="1" applyAlignment="1">
      <alignment horizontal="center" vertical="center" wrapText="1"/>
    </xf>
    <xf numFmtId="0" fontId="7" fillId="12" borderId="11" xfId="0">
      <alignment horizontal="center" vertical="center" wrapText="1"/>
    </xf>
    <xf numFmtId="0" fontId="7" fillId="12" borderId="15" xfId="0">
      <alignment horizontal="center" vertical="center" wrapText="1"/>
    </xf>
    <xf numFmtId="0" fontId="7" fillId="12" borderId="11" xfId="0" applyNumberFormat="1" applyFont="1" applyFill="1" applyBorder="1" applyAlignment="1">
      <alignment horizontal="left" vertical="center" wrapText="1"/>
    </xf>
    <xf numFmtId="0" fontId="7" fillId="12" borderId="37" xfId="0" applyNumberFormat="1" applyFont="1" applyFill="1" applyBorder="1" applyAlignment="1">
      <alignment horizontal="left" vertical="center" wrapText="1"/>
    </xf>
    <xf fontId="13" fillId="0" borderId="50" xfId="0">
      <alignment vertical="center" wrapText="0"/>
    </xf>
    <xf numFmtId="300" fontId="7" fillId="4" borderId="66" xfId="0" applyNumberFormat="1" applyFont="1" applyFill="1" applyBorder="1" applyAlignment="1">
      <alignment horizontal="center" vertical="center" wrapText="1"/>
    </xf>
    <xf numFmtId="303" fontId="8" fillId="4" borderId="67" xfId="0" applyFont="1" applyFill="1" applyBorder="1" applyAlignment="1">
      <alignment vertical="center" wrapText="0"/>
    </xf>
    <xf numFmtId="300" fontId="7" fillId="8" borderId="11" xfId="0" applyNumberFormat="1" applyFont="1" applyFill="1" applyBorder="1" applyAlignment="1">
      <alignment horizontal="center" vertical="center" wrapText="1"/>
    </xf>
    <xf numFmtId="0" fontId="7" fillId="8" borderId="62" xfId="0" applyNumberFormat="1" applyFont="1" applyFill="1" applyBorder="1" applyAlignment="1">
      <alignment horizontal="center" vertical="center" wrapText="1"/>
    </xf>
    <xf numFmtId="300" fontId="7" fillId="8" borderId="56" xfId="0" applyNumberFormat="1" applyFont="1" applyFill="1" applyBorder="1" applyAlignment="1">
      <alignment horizontal="center" vertical="center" wrapText="1"/>
    </xf>
    <xf numFmtId="303" fontId="8" fillId="4" borderId="62" xfId="0" applyFont="1" applyFill="1" applyBorder="1" applyAlignment="1">
      <alignment vertical="center" wrapText="0"/>
    </xf>
    <xf numFmtId="300" fontId="7" fillId="4" borderId="22" xfId="0" applyNumberFormat="1" applyFont="1" applyFill="1" applyBorder="1" applyAlignment="1">
      <alignment horizontal="center" vertical="center" wrapText="1"/>
    </xf>
    <xf numFmtId="300" fontId="7" fillId="4" borderId="39" xfId="0" applyNumberFormat="1" applyFont="1" applyFill="1" applyBorder="1" applyAlignment="1">
      <alignment horizontal="center" vertical="center" wrapText="1"/>
    </xf>
    <xf numFmtId="0" fontId="7" fillId="4" borderId="57" xfId="0">
      <alignment horizontal="center" vertical="center" wrapText="1"/>
    </xf>
    <xf numFmtId="0" fontId="7" fillId="4" borderId="68" xfId="0">
      <alignment horizontal="center" vertical="center" wrapText="1"/>
    </xf>
    <xf numFmtId="300" fontId="7" fillId="4" borderId="69" xfId="0" applyNumberFormat="1" applyFont="1" applyFill="1" applyBorder="1" applyAlignment="1">
      <alignment horizontal="center" vertical="center" wrapText="1"/>
    </xf>
    <xf numFmtId="301" fontId="7" fillId="4" borderId="26" xfId="0">
      <alignment horizontal="center" vertical="center" wrapText="1"/>
    </xf>
    <xf numFmtId="0" fontId="7" fillId="4" borderId="62" xfId="0">
      <alignment horizontal="center" vertical="center" wrapText="1"/>
    </xf>
    <xf numFmtId="301" fontId="7" fillId="4" borderId="16" xfId="0">
      <alignment horizontal="center" vertical="center" wrapText="1"/>
    </xf>
    <xf numFmtId="0" fontId="7" fillId="4" borderId="70" xfId="0">
      <alignment horizontal="center" vertical="center" wrapText="1"/>
    </xf>
    <xf numFmtId="0" fontId="14" fillId="2" borderId="30" xfId="0">
      <alignment horizontal="center" vertical="center" wrapText="0"/>
    </xf>
    <xf numFmtId="0" fontId="7" fillId="4" borderId="30" xfId="0">
      <alignment horizontal="center" vertical="center" wrapText="1"/>
    </xf>
    <xf numFmtId="0" fontId="7" fillId="12" borderId="30" xfId="0">
      <alignment horizontal="center" vertical="center" wrapText="1"/>
    </xf>
    <xf numFmtId="300" fontId="7" fillId="3" borderId="30" xfId="0">
      <alignment horizontal="center" vertical="center" wrapText="1"/>
    </xf>
    <xf numFmtId="300" fontId="7" fillId="12" borderId="30" xfId="0">
      <alignment horizontal="center" vertical="center" wrapText="1"/>
    </xf>
    <xf numFmtId="300" fontId="7" fillId="12" borderId="71" xfId="0">
      <alignment horizontal="center" vertical="center" wrapText="1"/>
    </xf>
    <xf numFmtId="0" fontId="7" fillId="12" borderId="8" xfId="0">
      <alignment horizontal="center" vertical="center" wrapText="1"/>
    </xf>
    <xf numFmtId="0" fontId="7" fillId="12" borderId="30" xfId="0">
      <alignment horizontal="left" vertical="center" wrapText="1"/>
    </xf>
    <xf numFmtId="0" fontId="7" fillId="4" borderId="43" xfId="0">
      <alignment horizontal="left" vertical="center" wrapText="1"/>
    </xf>
    <xf numFmtId="0" fontId="10" fillId="16" borderId="72" xfId="0" applyNumberFormat="1" applyFont="1" applyFill="1" applyBorder="1" applyAlignment="1">
      <alignment horizontal="center" vertical="center"/>
    </xf>
    <xf fontId="15" fillId="5" borderId="65" xfId="0">
      <alignment vertical="center" wrapText="0"/>
    </xf>
    <xf numFmtId="0" fontId="10" fillId="16" borderId="35" xfId="0" applyNumberFormat="1" applyFont="1" applyFill="1" applyBorder="1" applyAlignment="1">
      <alignment horizontal="center" vertical="center" wrapText="1"/>
    </xf>
    <xf numFmtId="300" fontId="7" fillId="12" borderId="35" xfId="0">
      <alignment horizontal="center" vertical="center" wrapText="1"/>
    </xf>
    <xf numFmtId="0" fontId="7" fillId="12" borderId="35" xfId="0">
      <alignment horizontal="center" vertical="center" wrapText="1"/>
    </xf>
    <xf numFmtId="0" fontId="7" fillId="3" borderId="35" xfId="0">
      <alignment horizontal="center" vertical="center" wrapText="1"/>
    </xf>
    <xf numFmtId="0" fontId="7" fillId="12" borderId="50" xfId="0" applyNumberFormat="1" applyFont="1" applyFill="1" applyBorder="1" applyAlignment="1">
      <alignment horizontal="center" vertical="center" wrapText="1"/>
    </xf>
    <xf numFmtId="300" fontId="7" fillId="12" borderId="49" xfId="0" applyNumberFormat="1" applyFont="1" applyFill="1" applyBorder="1" applyAlignment="1">
      <alignment horizontal="center" vertical="center" wrapText="1"/>
    </xf>
    <xf numFmtId="0" fontId="7" fillId="12" borderId="14" xfId="0">
      <alignment horizontal="center" vertical="center" wrapText="1"/>
    </xf>
    <xf numFmtId="0" fontId="7" fillId="12" borderId="35" xfId="0">
      <alignment horizontal="left" vertical="center" wrapText="1"/>
    </xf>
    <xf numFmtId="0" fontId="7" fillId="4" borderId="45" xfId="0">
      <alignment horizontal="left" vertical="center" wrapText="1"/>
    </xf>
    <xf numFmtId="300" fontId="7" fillId="3" borderId="35" xfId="0">
      <alignment horizontal="center" vertical="center" wrapText="1"/>
    </xf>
    <xf numFmtId="0" fontId="7" fillId="12" borderId="50" xfId="0">
      <alignment horizontal="center" vertical="center" wrapText="1"/>
    </xf>
    <xf numFmtId="300" fontId="7" fillId="12" borderId="49" xfId="0">
      <alignment horizontal="center" vertical="center" wrapText="1"/>
    </xf>
    <xf numFmtId="0" fontId="7" fillId="4" borderId="14" xfId="0">
      <alignment horizontal="center" vertical="center" wrapText="1"/>
    </xf>
    <xf numFmtId="0" fontId="7" fillId="3" borderId="35" xfId="0">
      <alignment horizontal="center" vertical="center" wrapText="1"/>
    </xf>
    <xf numFmtId="0" fontId="10" fillId="16" borderId="73" xfId="0" applyNumberFormat="1" applyFont="1" applyFill="1" applyBorder="1" applyAlignment="1">
      <alignment horizontal="center" vertical="center"/>
    </xf>
    <xf fontId="15" fillId="5" borderId="50" xfId="0">
      <alignment vertical="center" wrapText="0"/>
    </xf>
    <xf numFmtId="0" fontId="10" fillId="16" borderId="28" xfId="0" applyNumberFormat="1" applyFont="1" applyFill="1" applyBorder="1" applyAlignment="1">
      <alignment horizontal="center" vertical="center" wrapText="1"/>
    </xf>
    <xf numFmtId="0" fontId="7" fillId="12" borderId="28" xfId="0">
      <alignment horizontal="center" vertical="center" wrapText="1"/>
    </xf>
    <xf numFmtId="67" fontId="7" fillId="3" borderId="28" xfId="0">
      <alignment horizontal="center" vertical="center" wrapText="1"/>
    </xf>
    <xf numFmtId="0" fontId="7" fillId="15" borderId="35" xfId="0">
      <alignment horizontal="center" vertical="center" wrapText="1"/>
    </xf>
    <xf numFmtId="0" fontId="7" fillId="15" borderId="28" xfId="0">
      <alignment horizontal="center" vertical="center" wrapText="1"/>
    </xf>
    <xf numFmtId="300" fontId="7" fillId="15" borderId="28" xfId="0">
      <alignment horizontal="center" vertical="center" wrapText="1"/>
    </xf>
    <xf numFmtId="300" fontId="7" fillId="15" borderId="47" xfId="0">
      <alignment horizontal="center" vertical="center" wrapText="1"/>
    </xf>
    <xf numFmtId="0" fontId="7" fillId="4" borderId="20" xfId="0">
      <alignment horizontal="center" vertical="center" wrapText="1"/>
    </xf>
    <xf numFmtId="0" fontId="7" fillId="12" borderId="28" xfId="0">
      <alignment horizontal="left" vertical="center" wrapText="1"/>
    </xf>
    <xf numFmtId="0" fontId="7" fillId="4" borderId="48" xfId="0">
      <alignment horizontal="left" vertical="center" wrapText="1"/>
    </xf>
    <xf numFmtId="0" fontId="7" fillId="5" borderId="70" xfId="0">
      <alignment horizontal="center" vertical="center" wrapText="1"/>
    </xf>
    <xf numFmtId="0" fontId="7" fillId="5" borderId="30" xfId="0">
      <alignment horizontal="center" vertical="center" wrapText="1"/>
    </xf>
    <xf numFmtId="0" fontId="7" fillId="0" borderId="30" xfId="0">
      <alignment horizontal="center" vertical="center" wrapText="1"/>
    </xf>
    <xf numFmtId="300" fontId="7" fillId="2" borderId="30" xfId="0">
      <alignment horizontal="center" vertical="center" wrapText="1"/>
    </xf>
    <xf numFmtId="301" fontId="7" fillId="12" borderId="52" xfId="0" applyNumberFormat="1" applyFont="1" applyFill="1" applyBorder="1" applyAlignment="1">
      <alignment horizontal="center" vertical="center" wrapText="1"/>
    </xf>
    <xf numFmtId="0" fontId="7" fillId="0" borderId="8" xfId="0">
      <alignment horizontal="center" vertical="center" wrapText="1"/>
    </xf>
    <xf numFmtId="0" fontId="7" fillId="0" borderId="30" xfId="0">
      <alignment horizontal="left" vertical="center" wrapText="1"/>
    </xf>
    <xf numFmtId="0" fontId="7" fillId="0" borderId="43" xfId="0">
      <alignment horizontal="left" vertical="center" wrapText="1"/>
    </xf>
    <xf numFmtId="300" fontId="7" fillId="0" borderId="35" xfId="0">
      <alignment horizontal="center" vertical="center" wrapText="1"/>
    </xf>
    <xf numFmtId="0" fontId="7" fillId="0" borderId="35" xfId="0">
      <alignment horizontal="center" vertical="center" wrapText="1"/>
    </xf>
    <xf numFmtId="0" fontId="7" fillId="2" borderId="35" xfId="0">
      <alignment horizontal="center" vertical="center" wrapText="1"/>
    </xf>
    <xf numFmtId="0" fontId="7" fillId="4" borderId="35" xfId="0">
      <alignment horizontal="center" vertical="center" wrapText="1"/>
    </xf>
    <xf numFmtId="301" fontId="7" fillId="12" borderId="42" xfId="0" applyNumberFormat="1" applyFont="1" applyFill="1" applyBorder="1" applyAlignment="1">
      <alignment horizontal="center" vertical="center" wrapText="1"/>
    </xf>
    <xf numFmtId="0" fontId="7" fillId="0" borderId="14" xfId="0">
      <alignment horizontal="center" vertical="center" wrapText="1"/>
    </xf>
    <xf numFmtId="0" fontId="7" fillId="0" borderId="35" xfId="0">
      <alignment horizontal="left" vertical="center" wrapText="1"/>
    </xf>
    <xf numFmtId="0" fontId="7" fillId="0" borderId="45" xfId="0">
      <alignment horizontal="left" vertical="center" wrapText="1"/>
    </xf>
    <xf numFmtId="300" fontId="7" fillId="2" borderId="35" xfId="0">
      <alignment horizontal="center" vertical="center" wrapText="1"/>
    </xf>
    <xf numFmtId="300" fontId="7" fillId="4" borderId="49" xfId="0">
      <alignment horizontal="center" vertical="center" wrapText="1"/>
    </xf>
    <xf numFmtId="300" fontId="7" fillId="4" borderId="35" xfId="0">
      <alignment horizontal="center" vertical="center" wrapText="1"/>
    </xf>
    <xf numFmtId="0" fontId="7" fillId="4" borderId="50" xfId="0">
      <alignment horizontal="center" vertical="center" wrapText="1"/>
    </xf>
    <xf numFmtId="301" fontId="7" fillId="12" borderId="35" xfId="0" applyNumberFormat="1" applyFont="1" applyFill="1" applyBorder="1" applyAlignment="1">
      <alignment horizontal="center" vertical="center" wrapText="1"/>
    </xf>
    <xf numFmtId="0" fontId="7" fillId="0" borderId="28" xfId="0">
      <alignment horizontal="center" vertical="center" wrapText="1"/>
    </xf>
    <xf numFmtId="0" fontId="7" fillId="8" borderId="28" xfId="0">
      <alignment horizontal="center" vertical="center" wrapText="1"/>
    </xf>
    <xf numFmtId="300" fontId="7" fillId="8" borderId="28" xfId="0">
      <alignment horizontal="center" vertical="center" wrapText="1"/>
    </xf>
    <xf numFmtId="300" fontId="7" fillId="8" borderId="47" xfId="0">
      <alignment horizontal="center" vertical="center" wrapText="1"/>
    </xf>
    <xf numFmtId="301" fontId="7" fillId="0" borderId="28" xfId="0">
      <alignment horizontal="center" vertical="center" wrapText="1"/>
    </xf>
    <xf numFmtId="0" fontId="7" fillId="0" borderId="20" xfId="0">
      <alignment horizontal="center" vertical="center" wrapText="1"/>
    </xf>
    <xf numFmtId="0" fontId="7" fillId="0" borderId="28" xfId="0">
      <alignment horizontal="left" vertical="center" wrapText="1"/>
    </xf>
    <xf numFmtId="0" fontId="7" fillId="0" borderId="48" xfId="0">
      <alignment horizontal="left" vertical="center" wrapText="1"/>
    </xf>
    <xf fontId="14" fillId="5" borderId="74" xfId="0">
      <alignment horizontal="center" vertical="center" textRotation="0" wrapText="1" indent="0" justifyLastLine="0" shrinkToFit="0"/>
    </xf>
    <xf fontId="14" fillId="5" borderId="75" xfId="0">
      <alignment horizontal="center" vertical="center" textRotation="0" wrapText="1" indent="0" justifyLastLine="0" shrinkToFit="0"/>
    </xf>
    <xf fontId="14" fillId="0" borderId="30" xfId="0">
      <alignment horizontal="center" vertical="center" textRotation="0" wrapText="1" indent="0" justifyLastLine="0" shrinkToFit="0"/>
    </xf>
    <xf numFmtId="300" fontId="7" fillId="2" borderId="30" xfId="0">
      <alignment horizontal="center" vertical="center" textRotation="0" wrapText="1" indent="0" justifyLastLine="0" shrinkToFit="0"/>
    </xf>
    <xf fontId="14" fillId="12" borderId="30" xfId="0">
      <alignment horizontal="center" vertical="center" textRotation="0" wrapText="1" indent="0" justifyLastLine="0" shrinkToFit="0"/>
    </xf>
    <xf fontId="14" fillId="0" borderId="30" xfId="0">
      <alignment vertical="center" wrapText="1"/>
    </xf>
    <xf fontId="14" fillId="0" borderId="43" xfId="0">
      <alignment vertical="center" wrapText="1"/>
    </xf>
    <xf fontId="16" fillId="5" borderId="74" xfId="0">
      <alignment/>
    </xf>
    <xf fontId="16" fillId="5" borderId="75" xfId="0">
      <alignment/>
    </xf>
    <xf numFmtId="300" fontId="14" fillId="0" borderId="35" xfId="0">
      <alignment horizontal="center" vertical="center" textRotation="0" wrapText="1" indent="0" justifyLastLine="0" shrinkToFit="0"/>
    </xf>
    <xf fontId="14" fillId="0" borderId="35" xfId="0">
      <alignment horizontal="center" vertical="center" textRotation="0" wrapText="1" indent="0" justifyLastLine="0" shrinkToFit="0"/>
    </xf>
    <xf fontId="7" fillId="2" borderId="35" xfId="0">
      <alignment horizontal="center" vertical="center" textRotation="0" wrapText="1" indent="0" justifyLastLine="0" shrinkToFit="0"/>
    </xf>
    <xf fontId="14" fillId="12" borderId="35" xfId="0">
      <alignment horizontal="center" vertical="center" textRotation="0" wrapText="1" indent="0" justifyLastLine="0" shrinkToFit="0"/>
    </xf>
    <xf numFmtId="300" fontId="14" fillId="12" borderId="49" xfId="0">
      <alignment horizontal="center" vertical="center" wrapText="1"/>
    </xf>
    <xf fontId="14" fillId="0" borderId="35" xfId="0">
      <alignment vertical="center" wrapText="1"/>
    </xf>
    <xf fontId="14" fillId="0" borderId="45" xfId="0">
      <alignment vertical="center" wrapText="1"/>
    </xf>
    <xf numFmtId="300" fontId="7" fillId="2" borderId="35" xfId="0">
      <alignment horizontal="center" vertical="center" textRotation="0" wrapText="1" indent="0" justifyLastLine="0" shrinkToFit="0"/>
    </xf>
    <xf fontId="14" fillId="4" borderId="35" xfId="0">
      <alignment horizontal="center" vertical="center" textRotation="0" wrapText="1" indent="0" justifyLastLine="0" shrinkToFit="0"/>
    </xf>
    <xf numFmtId="300" fontId="14" fillId="4" borderId="49" xfId="0">
      <alignment horizontal="center" vertical="center" wrapText="1"/>
    </xf>
    <xf fontId="14" fillId="4" borderId="35" xfId="0">
      <alignment horizontal="center" vertical="center" wrapText="1"/>
    </xf>
    <xf numFmtId="300" fontId="14" fillId="4" borderId="35" xfId="0">
      <alignment horizontal="center" vertical="center" wrapText="1"/>
    </xf>
    <xf fontId="14" fillId="4" borderId="50" xfId="0">
      <alignment horizontal="center" vertical="center" wrapText="1"/>
    </xf>
    <xf fontId="14" fillId="0" borderId="28" xfId="0">
      <alignment horizontal="center" vertical="center" textRotation="0" wrapText="1" indent="0" justifyLastLine="0" shrinkToFit="0"/>
    </xf>
    <xf numFmtId="0" fontId="14" fillId="15" borderId="35" xfId="0">
      <alignment horizontal="center" vertical="center" textRotation="0" wrapText="1" indent="0" justifyLastLine="0" shrinkToFit="0"/>
    </xf>
    <xf numFmtId="300" fontId="14" fillId="8" borderId="28" xfId="0">
      <alignment horizontal="center" vertical="center" wrapText="1"/>
    </xf>
    <xf fontId="14" fillId="8" borderId="28" xfId="0">
      <alignment horizontal="center" vertical="center" wrapText="1"/>
    </xf>
    <xf numFmtId="300" fontId="14" fillId="8" borderId="47" xfId="0">
      <alignment horizontal="center" vertical="center" wrapText="1"/>
    </xf>
    <xf numFmtId="301" fontId="14" fillId="0" borderId="28" xfId="0">
      <alignment horizontal="center" vertical="center" wrapText="1"/>
    </xf>
    <xf fontId="14" fillId="0" borderId="28" xfId="0">
      <alignment vertical="center" wrapText="1"/>
    </xf>
    <xf fontId="14" fillId="0" borderId="48" xfId="0">
      <alignment vertical="center" wrapText="1"/>
    </xf>
    <xf numFmtId="301" fontId="8" fillId="12" borderId="42" xfId="0">
      <alignment horizontal="center" vertical="center" wrapText="1"/>
    </xf>
    <xf numFmtId="301" fontId="14" fillId="12" borderId="42" xfId="0">
      <alignment horizontal="center" vertical="center" wrapText="1"/>
    </xf>
    <xf numFmtId="301" fontId="14" fillId="0" borderId="42" xfId="0">
      <alignment horizontal="center" vertical="center" wrapText="1"/>
    </xf>
    <xf numFmtId="301" fontId="14" fillId="0" borderId="51" xfId="0">
      <alignment horizontal="center" vertical="center" wrapText="1"/>
    </xf>
    <xf numFmtId="0" fontId="14" fillId="17" borderId="35" xfId="0">
      <alignment horizontal="center" vertical="center" textRotation="0" wrapText="1" indent="0" justifyLastLine="0" shrinkToFit="0"/>
    </xf>
    <xf numFmtId="0" fontId="7" fillId="11" borderId="28" xfId="0">
      <alignment horizontal="center" vertical="center" wrapText="1"/>
    </xf>
    <xf numFmtId="300" fontId="14" fillId="11" borderId="28" xfId="0">
      <alignment horizontal="center" vertical="center" wrapText="1"/>
    </xf>
    <xf fontId="14" fillId="11" borderId="28" xfId="0">
      <alignment horizontal="center" vertical="center" wrapText="1"/>
    </xf>
    <xf numFmtId="300" fontId="14" fillId="11" borderId="47" xfId="0">
      <alignment horizontal="center" vertical="center" wrapText="1"/>
    </xf>
    <xf numFmtId="0" fontId="7" fillId="12" borderId="20" xfId="0">
      <alignment horizontal="center" vertical="center" wrapText="1"/>
    </xf>
    <xf fontId="8" fillId="4" borderId="74" xfId="0">
      <alignment horizontal="center" vertical="center" textRotation="0" wrapText="1" indent="0" justifyLastLine="0" shrinkToFit="0"/>
    </xf>
    <xf numFmtId="0" fontId="8" fillId="2" borderId="30" xfId="0">
      <alignment horizontal="center" vertical="center" wrapText="0"/>
    </xf>
    <xf fontId="8" fillId="4" borderId="75" xfId="0">
      <alignment horizontal="center" vertical="center" textRotation="0" wrapText="1" indent="0" justifyLastLine="0" shrinkToFit="0"/>
    </xf>
    <xf fontId="8" fillId="0" borderId="30" xfId="0">
      <alignment horizontal="center" vertical="center" textRotation="0" wrapText="1" indent="0" justifyLastLine="0" shrinkToFit="0"/>
    </xf>
    <xf numFmtId="300" fontId="7" fillId="2" borderId="30" xfId="0">
      <alignment horizontal="center" vertical="center" textRotation="0" wrapText="1" indent="0" justifyLastLine="0" shrinkToFit="0"/>
    </xf>
    <xf fontId="8" fillId="4" borderId="30" xfId="0">
      <alignment horizontal="center" vertical="center" textRotation="0" wrapText="1" indent="0" justifyLastLine="0" shrinkToFit="0"/>
    </xf>
    <xf fontId="8" fillId="4" borderId="30" xfId="0">
      <alignment horizontal="center" vertical="center" textRotation="0" wrapText="1" indent="0" justifyLastLine="0" shrinkToFit="0"/>
    </xf>
    <xf numFmtId="300" fontId="7" fillId="4" borderId="71" xfId="0">
      <alignment horizontal="center" vertical="center" wrapText="1"/>
    </xf>
    <xf numFmtId="301" fontId="7" fillId="5" borderId="52" xfId="0" applyNumberFormat="1" applyFont="1" applyFill="1" applyBorder="1" applyAlignment="1">
      <alignment horizontal="center" vertical="center" wrapText="1"/>
    </xf>
    <xf numFmtId="0" fontId="7" fillId="5" borderId="10" xfId="0" applyNumberFormat="1" applyFont="1" applyFill="1" applyBorder="1" applyAlignment="1">
      <alignment horizontal="center" vertical="center" wrapText="1"/>
    </xf>
    <xf fontId="8" fillId="5" borderId="30" xfId="0">
      <alignment vertical="center" wrapText="1"/>
    </xf>
    <xf fontId="8" fillId="0" borderId="43" xfId="0">
      <alignment vertical="center" wrapText="1"/>
    </xf>
    <xf fontId="9" fillId="4" borderId="74" xfId="0">
      <alignment/>
    </xf>
    <xf fontId="8" fillId="4" borderId="65" xfId="0">
      <alignment vertical="center" wrapText="0"/>
    </xf>
    <xf fontId="9" fillId="4" borderId="75" xfId="0">
      <alignment/>
    </xf>
    <xf numFmtId="300" fontId="7" fillId="0" borderId="35" xfId="0">
      <alignment horizontal="center" vertical="center" wrapText="1"/>
    </xf>
    <xf fontId="8" fillId="0" borderId="35" xfId="0">
      <alignment horizontal="center" vertical="center" textRotation="0" wrapText="1" indent="0" justifyLastLine="0" shrinkToFit="0"/>
    </xf>
    <xf fontId="7" fillId="2" borderId="35" xfId="0">
      <alignment horizontal="center" vertical="center" textRotation="0" wrapText="1" indent="0" justifyLastLine="0" shrinkToFit="0"/>
    </xf>
    <xf fontId="8" fillId="4" borderId="35" xfId="0">
      <alignment horizontal="center" vertical="center" textRotation="0" wrapText="1" indent="0" justifyLastLine="0" shrinkToFit="0"/>
    </xf>
    <xf fontId="8" fillId="4" borderId="35" xfId="0">
      <alignment horizontal="center" vertical="center" textRotation="0" wrapText="1" indent="0" justifyLastLine="0" shrinkToFit="0"/>
    </xf>
    <xf numFmtId="0" fontId="7" fillId="4" borderId="50" xfId="0">
      <alignment horizontal="center" vertical="center" wrapText="1"/>
    </xf>
    <xf numFmtId="300" fontId="8" fillId="4" borderId="49" xfId="0">
      <alignment horizontal="center" vertical="center" wrapText="1"/>
    </xf>
    <xf numFmtId="301" fontId="8" fillId="5" borderId="42" xfId="0">
      <alignment horizontal="center" vertical="center" wrapText="1"/>
    </xf>
    <xf fontId="8" fillId="5" borderId="35" xfId="0">
      <alignment vertical="center" wrapText="1"/>
    </xf>
    <xf fontId="8" fillId="0" borderId="45" xfId="0">
      <alignment vertical="center" wrapText="1"/>
    </xf>
    <xf numFmtId="300" fontId="7" fillId="2" borderId="35" xfId="0">
      <alignment horizontal="center" vertical="center" textRotation="0" wrapText="1" indent="0" justifyLastLine="0" shrinkToFit="0"/>
    </xf>
    <xf fontId="8" fillId="5" borderId="35" xfId="0">
      <alignment horizontal="center" vertical="center" textRotation="0" wrapText="1" indent="0" justifyLastLine="0" shrinkToFit="0"/>
    </xf>
    <xf numFmtId="300" fontId="8" fillId="4" borderId="35" xfId="0">
      <alignment horizontal="center" vertical="center" wrapText="1"/>
    </xf>
    <xf fontId="8" fillId="4" borderId="50" xfId="0">
      <alignment horizontal="center" vertical="center" wrapText="1"/>
    </xf>
    <xf fontId="8" fillId="2" borderId="35" xfId="0">
      <alignment horizontal="center" vertical="center" textRotation="0" wrapText="1" indent="0" justifyLastLine="0" shrinkToFit="0"/>
    </xf>
    <xf fontId="8" fillId="2" borderId="35" xfId="0">
      <alignment horizontal="center" vertical="center" wrapText="1"/>
    </xf>
    <xf numFmtId="300" fontId="8" fillId="2" borderId="35" xfId="0">
      <alignment horizontal="center" vertical="center" wrapText="1"/>
    </xf>
    <xf fontId="8" fillId="2" borderId="50" xfId="0">
      <alignment horizontal="center" vertical="center" wrapText="1"/>
    </xf>
    <xf numFmtId="300" fontId="8" fillId="2" borderId="49" xfId="0">
      <alignment horizontal="center" vertical="center" wrapText="1"/>
    </xf>
    <xf numFmtId="301" fontId="8" fillId="5" borderId="51" xfId="0">
      <alignment horizontal="center" vertical="center" wrapText="1"/>
    </xf>
    <xf fontId="8" fillId="4" borderId="50" xfId="0">
      <alignment vertical="center" wrapText="0"/>
    </xf>
    <xf fontId="12" fillId="4" borderId="75" xfId="0">
      <alignment/>
    </xf>
    <xf fontId="8" fillId="0" borderId="28" xfId="0">
      <alignment horizontal="center" vertical="center" textRotation="0" wrapText="1" indent="0" justifyLastLine="0" shrinkToFit="0"/>
    </xf>
    <xf numFmtId="0" fontId="8" fillId="8" borderId="35" xfId="0">
      <alignment horizontal="center" vertical="center" textRotation="0" wrapText="1" indent="0" justifyLastLine="0" shrinkToFit="0"/>
    </xf>
    <xf numFmtId="300" fontId="8" fillId="8" borderId="28" xfId="0">
      <alignment horizontal="center" vertical="center" wrapText="1"/>
    </xf>
    <xf fontId="8" fillId="8" borderId="28" xfId="0">
      <alignment horizontal="center" vertical="center" wrapText="1"/>
    </xf>
    <xf numFmtId="300" fontId="8" fillId="8" borderId="47" xfId="0">
      <alignment horizontal="center" vertical="center" wrapText="1"/>
    </xf>
    <xf numFmtId="301" fontId="8" fillId="5" borderId="28" xfId="0">
      <alignment horizontal="center" vertical="center" wrapText="1"/>
    </xf>
    <xf fontId="8" fillId="18" borderId="20" xfId="0">
      <alignment horizontal="center" vertical="center" textRotation="0" wrapText="1"/>
    </xf>
    <xf fontId="8" fillId="5" borderId="28" xfId="0">
      <alignment vertical="center" wrapText="1"/>
    </xf>
    <xf fontId="8" fillId="0" borderId="48" xfId="0">
      <alignment vertical="center" wrapText="1"/>
    </xf>
    <xf numFmtId="0" fontId="8" fillId="4" borderId="74" xfId="0">
      <alignment horizontal="center" vertical="center" textRotation="0" wrapText="1" indent="0" justifyLastLine="0" shrinkToFit="0"/>
    </xf>
    <xf numFmtId="300" fontId="8" fillId="0" borderId="35" xfId="0">
      <alignment horizontal="center" vertical="center" textRotation="0" wrapText="1" indent="0" justifyLastLine="0" shrinkToFit="0"/>
    </xf>
    <xf fontId="8" fillId="2" borderId="35" xfId="0">
      <alignment horizontal="center" vertical="center" textRotation="0" wrapText="1" indent="0" justifyLastLine="0" shrinkToFit="0"/>
    </xf>
    <xf numFmtId="0" fontId="7" fillId="2" borderId="50" xfId="0">
      <alignment horizontal="center" vertical="center" wrapText="1"/>
    </xf>
    <xf fontId="8" fillId="5" borderId="35" xfId="0">
      <alignment horizontal="center" vertical="center" wrapText="1"/>
    </xf>
    <xf fontId="8" fillId="8" borderId="35" xfId="0">
      <alignment horizontal="center" vertical="center" textRotation="0" wrapText="1" indent="0" justifyLastLine="0" shrinkToFit="0"/>
    </xf>
    <xf fontId="8" fillId="8" borderId="35" xfId="0">
      <alignment horizontal="center" vertical="center" wrapText="1"/>
    </xf>
    <xf numFmtId="300" fontId="8" fillId="8" borderId="35" xfId="0">
      <alignment horizontal="center" vertical="center" wrapText="1"/>
    </xf>
    <xf fontId="8" fillId="8" borderId="50" xfId="0">
      <alignment horizontal="center" vertical="center" wrapText="1"/>
    </xf>
    <xf numFmtId="300" fontId="8" fillId="8" borderId="49" xfId="0">
      <alignment horizontal="center" vertical="center" wrapText="1"/>
    </xf>
    <xf numFmtId="0" fontId="8" fillId="5" borderId="35" xfId="0">
      <alignment horizontal="center" vertical="center" textRotation="0" wrapText="1" indent="0" justifyLastLine="0" shrinkToFit="0"/>
    </xf>
    <xf numFmtId="300" fontId="8" fillId="4" borderId="28" xfId="0">
      <alignment horizontal="center" vertical="center" wrapText="1"/>
    </xf>
    <xf fontId="8" fillId="4" borderId="28" xfId="0">
      <alignment horizontal="center" vertical="center" wrapText="1"/>
    </xf>
    <xf numFmtId="300" fontId="8" fillId="4" borderId="47" xfId="0">
      <alignment horizontal="center" vertical="center" wrapText="1"/>
    </xf>
    <xf fontId="8" fillId="18" borderId="20" xfId="0">
      <alignment horizontal="center" vertical="center" textRotation="0" wrapText="1"/>
    </xf>
    <xf numFmtId="301" fontId="8" fillId="2" borderId="42" xfId="0" applyNumberFormat="1" applyFont="1" applyFill="1" applyBorder="1" applyAlignment="1">
      <alignment horizontal="center" vertical="center" wrapText="1"/>
    </xf>
    <xf fontId="8" fillId="8" borderId="35" xfId="0">
      <alignment horizontal="center" vertical="center" textRotation="0" wrapText="1" indent="0" justifyLastLine="0" shrinkToFit="0"/>
    </xf>
    <xf numFmtId="0" fontId="7" fillId="8" borderId="50" xfId="0">
      <alignment horizontal="center" vertical="center" wrapText="1"/>
    </xf>
    <xf fontId="8" fillId="3" borderId="35" xfId="0">
      <alignment horizontal="center" vertical="center" textRotation="0" wrapText="1" indent="0" justifyLastLine="0" shrinkToFit="0"/>
    </xf>
    <xf numFmtId="0" fontId="7" fillId="2" borderId="14" xfId="0">
      <alignment horizontal="center" vertical="center" wrapText="1"/>
    </xf>
    <xf fontId="8" fillId="2" borderId="35" xfId="0">
      <alignment vertical="center" wrapText="1"/>
    </xf>
    <xf fontId="8" fillId="3" borderId="45" xfId="0">
      <alignment vertical="center" wrapText="1"/>
    </xf>
    <xf fontId="8" fillId="3" borderId="28" xfId="0">
      <alignment horizontal="center" vertical="center" textRotation="0" wrapText="1" indent="0" justifyLastLine="0" shrinkToFit="0"/>
    </xf>
    <xf numFmtId="0" fontId="8" fillId="2" borderId="35" xfId="0">
      <alignment horizontal="center" vertical="center" textRotation="0" wrapText="1" indent="0" justifyLastLine="0" shrinkToFit="0"/>
    </xf>
    <xf numFmtId="300" fontId="8" fillId="2" borderId="28" xfId="0">
      <alignment horizontal="center" vertical="center" wrapText="1"/>
    </xf>
    <xf fontId="8" fillId="2" borderId="28" xfId="0">
      <alignment horizontal="center" vertical="center" wrapText="1"/>
    </xf>
    <xf numFmtId="300" fontId="8" fillId="2" borderId="47" xfId="0">
      <alignment horizontal="center" vertical="center" wrapText="1"/>
    </xf>
    <xf numFmtId="301" fontId="8" fillId="2" borderId="28" xfId="0">
      <alignment horizontal="center" vertical="center" wrapText="1"/>
    </xf>
    <xf fontId="8" fillId="2" borderId="20" xfId="0">
      <alignment horizontal="center" vertical="center" textRotation="0" wrapText="1" indent="0" justifyLastLine="0" shrinkToFit="0"/>
    </xf>
    <xf fontId="8" fillId="2" borderId="28" xfId="0">
      <alignment vertical="center" wrapText="1"/>
    </xf>
    <xf fontId="8" fillId="3" borderId="48" xfId="0">
      <alignment vertical="center" wrapText="1"/>
    </xf>
    <xf numFmtId="301" fontId="8" fillId="5" borderId="42" xfId="0" applyNumberFormat="1" applyFont="1" applyFill="1" applyBorder="1" applyAlignment="1">
      <alignment horizontal="center" vertical="center" wrapText="1"/>
    </xf>
    <xf fontId="8" fillId="3" borderId="35" xfId="0">
      <alignment horizontal="center" vertical="center" textRotation="0" wrapText="1" indent="0" justifyLastLine="0" shrinkToFit="0"/>
    </xf>
    <xf numFmtId="300" fontId="7" fillId="3" borderId="35" xfId="0">
      <alignment horizontal="center" vertical="center" wrapText="1"/>
    </xf>
    <xf numFmtId="0" fontId="7" fillId="3" borderId="50" xfId="0">
      <alignment horizontal="center" vertical="center" wrapText="1"/>
    </xf>
    <xf numFmtId="300" fontId="8" fillId="3" borderId="49" xfId="0">
      <alignment horizontal="center" vertical="center" wrapText="1"/>
    </xf>
    <xf numFmtId="300" fontId="7" fillId="2" borderId="25" xfId="0" applyNumberFormat="1" applyFont="1" applyFill="1" applyBorder="1" applyAlignment="1">
      <alignment horizontal="center" vertical="center" wrapText="1"/>
    </xf>
    <xf numFmtId="301" fontId="8" fillId="5" borderId="35" xfId="0" applyNumberFormat="1" applyFont="1" applyFill="1" applyBorder="1" applyAlignment="1">
      <alignment horizontal="center" vertical="center" wrapText="1"/>
    </xf>
    <xf numFmtId="0" fontId="8" fillId="19" borderId="35" xfId="0">
      <alignment horizontal="center" vertical="center" textRotation="0" wrapText="1" indent="0" justifyLastLine="0" shrinkToFit="0"/>
    </xf>
    <xf numFmtId="0" fontId="7" fillId="19" borderId="28" xfId="0">
      <alignment horizontal="center" vertical="center" wrapText="1"/>
    </xf>
    <xf numFmtId="300" fontId="8" fillId="19" borderId="28" xfId="0">
      <alignment horizontal="center" vertical="center" wrapText="1"/>
    </xf>
    <xf fontId="8" fillId="19" borderId="28" xfId="0">
      <alignment horizontal="center" vertical="center" wrapText="1"/>
    </xf>
    <xf numFmtId="300" fontId="8" fillId="19" borderId="47" xfId="0">
      <alignment horizontal="center" vertical="center" wrapText="1"/>
    </xf>
    <xf fontId="8" fillId="18" borderId="20" xfId="0">
      <alignment horizontal="center" vertical="center" textRotation="0" wrapText="1" indent="0" justifyLastLine="0" shrinkToFit="0"/>
    </xf>
    <xf fontId="8" fillId="0" borderId="76" xfId="0">
      <alignment horizontal="center" vertical="center" textRotation="0" wrapText="1" indent="0" justifyLastLine="0" shrinkToFit="0"/>
    </xf>
    <xf fontId="8" fillId="0" borderId="77" xfId="0">
      <alignment horizontal="center" vertical="center" textRotation="0" wrapText="1" indent="0" justifyLastLine="0" shrinkToFit="0"/>
    </xf>
    <xf numFmtId="300" fontId="7" fillId="2" borderId="77" xfId="0">
      <alignment horizontal="center" vertical="center" textRotation="0" wrapText="1" indent="0" justifyLastLine="0" shrinkToFit="0"/>
    </xf>
    <xf fontId="0" fillId="0" borderId="78" xfId="0">
      <alignment vertical="center"/>
    </xf>
    <xf fontId="8" fillId="4" borderId="35" xfId="0">
      <alignment horizontal="center" vertical="center" wrapText="1"/>
    </xf>
    <xf fontId="0" fillId="0" borderId="79" xfId="0">
      <alignment vertical="center"/>
    </xf>
    <xf fontId="8" fillId="19" borderId="35" xfId="0">
      <alignment horizontal="center" vertical="center" textRotation="0" wrapText="1" indent="0" justifyLastLine="0" shrinkToFit="0"/>
    </xf>
    <xf fontId="8" fillId="19" borderId="35" xfId="0">
      <alignment horizontal="center" vertical="center" wrapText="1"/>
    </xf>
    <xf numFmtId="300" fontId="8" fillId="19" borderId="35" xfId="0">
      <alignment horizontal="center" vertical="center" wrapText="1"/>
    </xf>
    <xf fontId="8" fillId="19" borderId="50" xfId="0">
      <alignment horizontal="center" vertical="center" wrapText="1"/>
    </xf>
    <xf numFmtId="300" fontId="8" fillId="19" borderId="49" xfId="0">
      <alignment horizontal="center" vertical="center" wrapText="1"/>
    </xf>
    <xf numFmtId="301" fontId="7" fillId="5" borderId="52" xfId="0">
      <alignment horizontal="center" vertical="center" wrapText="1"/>
    </xf>
    <xf fontId="8" fillId="4" borderId="50" xfId="0">
      <alignment horizontal="center" vertical="center" wrapText="1"/>
    </xf>
    <xf fontId="8" fillId="0" borderId="35" xfId="0">
      <alignment vertical="center" wrapText="1"/>
    </xf>
    <xf numFmtId="0" fontId="8" fillId="4" borderId="35" xfId="0">
      <alignment horizontal="center" vertical="center" textRotation="0" wrapText="1" indent="0" justifyLastLine="0" shrinkToFit="0"/>
    </xf>
    <xf numFmtId="300" fontId="8" fillId="0" borderId="35" xfId="0">
      <alignment horizontal="center" vertical="center" textRotation="0" wrapText="1"/>
    </xf>
    <xf fontId="8" fillId="2" borderId="35" xfId="0">
      <alignment horizontal="center" vertical="center" textRotation="0" wrapText="1" justifyLastLine="0" shrinkToFit="0"/>
    </xf>
    <xf fontId="8" fillId="4" borderId="35" xfId="0">
      <alignment horizontal="center" vertical="center" textRotation="0" wrapText="1" justifyLastLine="0" shrinkToFit="0"/>
    </xf>
    <xf numFmtId="301" fontId="8" fillId="4" borderId="42" xfId="0">
      <alignment horizontal="center" vertical="center" wrapText="1"/>
    </xf>
    <xf numFmtId="301" fontId="8" fillId="4" borderId="51" xfId="0">
      <alignment horizontal="center" vertical="center" wrapText="1"/>
    </xf>
    <xf numFmtId="0" fontId="7" fillId="15" borderId="28" xfId="0">
      <alignment horizontal="center" vertical="center" wrapText="1" justifyLastLine="0" shrinkToFit="0"/>
    </xf>
    <xf numFmtId="300" fontId="8" fillId="15" borderId="28" xfId="0">
      <alignment horizontal="center" vertical="center" wrapText="1"/>
    </xf>
    <xf fontId="8" fillId="15" borderId="28" xfId="0">
      <alignment horizontal="center" vertical="center" wrapText="1"/>
    </xf>
    <xf numFmtId="300" fontId="8" fillId="15" borderId="47" xfId="0">
      <alignment horizontal="center" vertical="center" wrapText="1"/>
    </xf>
    <xf numFmtId="0" fontId="7" fillId="5" borderId="30" xfId="0" applyNumberFormat="1" applyFont="1" applyFill="1" applyBorder="1" applyAlignment="1">
      <alignment horizontal="center" vertical="center" wrapText="1"/>
    </xf>
    <xf fontId="8" fillId="8" borderId="35" xfId="0">
      <alignment horizontal="center" vertical="center" textRotation="0" wrapText="1" justifyLastLine="0" shrinkToFit="0"/>
    </xf>
    <xf numFmtId="0" fontId="7" fillId="8" borderId="80" xfId="0">
      <alignment horizontal="center" vertical="center" wrapText="1"/>
    </xf>
    <xf numFmtId="0" fontId="7" fillId="5" borderId="35" xfId="0" applyNumberFormat="1" applyFont="1" applyFill="1" applyBorder="1" applyAlignment="1">
      <alignment horizontal="center" vertical="center" wrapText="1"/>
    </xf>
    <xf numFmtId="0" fontId="7" fillId="4" borderId="25" xfId="0">
      <alignment horizontal="left" vertical="center" wrapText="1"/>
    </xf>
    <xf numFmtId="0" fontId="7" fillId="2" borderId="80" xfId="0">
      <alignment horizontal="center" vertical="center" wrapText="1"/>
    </xf>
    <xf numFmtId="0" fontId="7" fillId="4" borderId="80" xfId="0">
      <alignment horizontal="center" vertical="center" wrapText="1"/>
    </xf>
    <xf numFmtId="302" fontId="8" fillId="5" borderId="30" xfId="0">
      <alignment vertical="center" wrapText="1"/>
    </xf>
    <xf fontId="8" fillId="2" borderId="30" xfId="0">
      <alignment horizontal="center" vertical="center" textRotation="0" wrapText="1" indent="0" justifyLastLine="0" shrinkToFit="0"/>
    </xf>
    <xf numFmtId="300" fontId="7" fillId="2" borderId="71" xfId="0">
      <alignment horizontal="center" vertical="center" wrapText="1"/>
    </xf>
    <xf fontId="8" fillId="0" borderId="35" xfId="0">
      <alignment horizontal="center" vertical="center" textRotation="0" wrapText="1" justifyLastLine="0" shrinkToFit="0"/>
    </xf>
    <xf fontId="8" fillId="19" borderId="35" xfId="0">
      <alignment horizontal="center" vertical="center" textRotation="0" wrapText="1" indent="0" justifyLastLine="0" shrinkToFit="0"/>
    </xf>
    <xf numFmtId="0" fontId="8" fillId="5" borderId="35" xfId="0">
      <alignment vertical="center" wrapText="1"/>
    </xf>
    <xf fontId="8" fillId="10" borderId="35" xfId="0">
      <alignment horizontal="center" vertical="center" textRotation="0" wrapText="1" justifyLastLine="0" shrinkToFit="0"/>
    </xf>
    <xf numFmtId="0" fontId="7" fillId="10" borderId="80" xfId="0">
      <alignment horizontal="center" vertical="center" wrapText="1"/>
    </xf>
    <xf numFmtId="300" fontId="8" fillId="10" borderId="49" xfId="0">
      <alignment horizontal="center" vertical="center" wrapText="1"/>
    </xf>
    <xf numFmtId="0" fontId="8" fillId="0" borderId="35" xfId="0">
      <alignment horizontal="center" vertical="center" textRotation="0" wrapText="1" indent="0" justifyLastLine="0" shrinkToFit="0"/>
    </xf>
    <xf numFmtId="0" fontId="8" fillId="11" borderId="35" xfId="0">
      <alignment horizontal="center" vertical="center" textRotation="0" wrapText="1" indent="0" justifyLastLine="0" shrinkToFit="0"/>
    </xf>
    <xf numFmtId="0" fontId="7" fillId="11" borderId="28" xfId="0">
      <alignment horizontal="center" vertical="center" wrapText="1"/>
    </xf>
    <xf numFmtId="300" fontId="8" fillId="11" borderId="28" xfId="0">
      <alignment horizontal="center" vertical="center" wrapText="1"/>
    </xf>
    <xf fontId="8" fillId="11" borderId="28" xfId="0">
      <alignment horizontal="center" vertical="center" wrapText="1"/>
    </xf>
    <xf numFmtId="300" fontId="8" fillId="11" borderId="47" xfId="0">
      <alignment horizontal="center" vertical="center" wrapText="1"/>
    </xf>
    <xf fontId="8" fillId="2" borderId="30" xfId="0">
      <alignment horizontal="center" vertical="center" textRotation="0" wrapText="1" justifyLastLine="0" shrinkToFit="0"/>
    </xf>
    <xf fontId="8" fillId="4" borderId="74" xfId="0">
      <alignment horizontal="center" vertical="center" textRotation="0" wrapText="1" justifyLastLine="0" shrinkToFit="0"/>
    </xf>
    <xf fontId="8" fillId="2" borderId="77" xfId="0">
      <alignment horizontal="center" vertical="center" textRotation="0" wrapText="1" indent="0" justifyLastLine="0" shrinkToFit="0"/>
    </xf>
    <xf numFmtId="300" fontId="7" fillId="2" borderId="77" xfId="0">
      <alignment horizontal="center" vertical="center" wrapText="1"/>
    </xf>
    <xf numFmtId="0" fontId="7" fillId="2" borderId="77" xfId="0">
      <alignment horizontal="center" vertical="center" wrapText="1"/>
    </xf>
    <xf numFmtId="301" fontId="7" fillId="2" borderId="81" xfId="0" applyNumberFormat="1" applyFont="1" applyFill="1" applyBorder="1" applyAlignment="1">
      <alignment horizontal="center" vertical="center" wrapText="1"/>
    </xf>
    <xf numFmtId="0" fontId="7" fillId="5" borderId="77" xfId="0" applyNumberFormat="1" applyFont="1" applyFill="1" applyBorder="1" applyAlignment="1">
      <alignment horizontal="center" vertical="center" wrapText="1"/>
    </xf>
    <xf numFmtId="0" fontId="8" fillId="4" borderId="65" xfId="0">
      <alignment horizontal="center" vertical="center" wrapText="0"/>
    </xf>
    <xf fontId="9" fillId="0" borderId="80" xfId="0">
      <alignment vertical="center"/>
    </xf>
    <xf fontId="9" fillId="0" borderId="80" xfId="0">
      <alignment vertical="center"/>
    </xf>
    <xf fontId="9" fillId="4" borderId="82" xfId="0">
      <alignment vertical="center"/>
    </xf>
    <xf numFmtId="72" fontId="8" fillId="2" borderId="35" xfId="0">
      <alignment horizontal="center" vertical="center" textRotation="0" wrapText="1" indent="0" justifyLastLine="0" shrinkToFit="0"/>
    </xf>
    <xf numFmtId="72" fontId="8" fillId="2" borderId="83" xfId="0">
      <alignment horizontal="center" vertical="center" textRotation="0" wrapText="1" indent="0" justifyLastLine="0" shrinkToFit="0"/>
    </xf>
    <xf numFmtId="303" fontId="8" fillId="3" borderId="42" xfId="0" applyFont="1" applyFill="1" applyBorder="1" applyAlignment="1">
      <alignment horizontal="center" vertical="center" textRotation="0" wrapText="1" indent="0" justifyLastLine="0" shrinkToFit="0"/>
    </xf>
    <xf fontId="8" fillId="5" borderId="80" xfId="0">
      <alignment vertical="center" wrapText="1"/>
    </xf>
    <xf fontId="8" fillId="0" borderId="84" xfId="0">
      <alignment vertical="center" wrapText="1"/>
    </xf>
    <xf numFmtId="300" fontId="8" fillId="12" borderId="35" xfId="0">
      <alignment horizontal="center" vertical="center" textRotation="0" wrapText="1" indent="0" justifyLastLine="0" shrinkToFit="0"/>
    </xf>
    <xf fontId="8" fillId="12" borderId="35" xfId="0">
      <alignment horizontal="center" vertical="center" textRotation="0" wrapText="1" indent="0" justifyLastLine="0" shrinkToFit="0"/>
    </xf>
    <xf fontId="7" fillId="2" borderId="35" xfId="0">
      <alignment horizontal="center" vertical="center" textRotation="0" wrapText="1" justifyLastLine="0" shrinkToFit="0"/>
    </xf>
    <xf fontId="8" fillId="12" borderId="35" xfId="0">
      <alignment horizontal="center" vertical="center" textRotation="0" wrapText="1" indent="0" justifyLastLine="0" shrinkToFit="0"/>
    </xf>
    <xf fontId="8" fillId="4" borderId="85" xfId="0">
      <alignment vertical="center" wrapText="0"/>
    </xf>
    <xf fontId="8" fillId="2" borderId="80" xfId="0">
      <alignment horizontal="center" vertical="center" wrapText="1"/>
    </xf>
    <xf fontId="8" fillId="12" borderId="28" xfId="0">
      <alignment horizontal="center" vertical="center" textRotation="0" wrapText="1" indent="0" justifyLastLine="0" shrinkToFit="0"/>
    </xf>
    <xf fontId="8" fillId="18" borderId="20" xfId="0">
      <alignment horizontal="center" vertical="center" textRotation="0" wrapText="1" indent="0" justifyLastLine="0" shrinkToFit="0"/>
    </xf>
    <xf numFmtId="303" fontId="8" fillId="2" borderId="51" xfId="0" applyFont="1" applyFill="1" applyBorder="1" applyAlignment="1">
      <alignment horizontal="center" vertical="center" textRotation="0" wrapText="1" indent="0" justifyLastLine="0" shrinkToFit="0"/>
    </xf>
    <xf numFmtId="300" fontId="8" fillId="0" borderId="35" xfId="0">
      <alignment horizontal="center" vertical="center" textRotation="0" wrapText="1" justifyLastLine="0" shrinkToFit="0"/>
    </xf>
    <xf numFmtId="0" fontId="7" fillId="0" borderId="35" xfId="0" applyNumberFormat="1" applyFont="1" applyBorder="1" applyAlignment="1">
      <alignment horizontal="center" vertical="center" wrapText="1"/>
    </xf>
    <xf numFmtId="302" fontId="8" fillId="5" borderId="35" xfId="0">
      <alignment vertical="center" wrapText="1"/>
    </xf>
    <xf numFmtId="302" fontId="8" fillId="5" borderId="35" xfId="0">
      <alignment horizontal="left" vertical="center" wrapText="1"/>
    </xf>
    <xf numFmtId="300" fontId="8" fillId="0" borderId="86" xfId="0">
      <alignment horizontal="center" vertical="center" textRotation="0" wrapText="1" justifyLastLine="0" shrinkToFit="0"/>
    </xf>
    <xf fontId="8" fillId="0" borderId="86" xfId="0">
      <alignment horizontal="center" vertical="center" textRotation="0" wrapText="1" indent="0" justifyLastLine="0" shrinkToFit="0"/>
    </xf>
    <xf fontId="7" fillId="2" borderId="86" xfId="0">
      <alignment horizontal="center" vertical="center" textRotation="0" wrapText="1" indent="0" justifyLastLine="0" shrinkToFit="0"/>
    </xf>
    <xf fontId="0" fillId="0" borderId="87" xfId="0">
      <alignment vertical="center"/>
    </xf>
    <xf fontId="8" fillId="4" borderId="35" xfId="0">
      <alignment vertical="center" wrapText="1"/>
    </xf>
    <xf fontId="8" fillId="4" borderId="74" xfId="0">
      <alignment horizontal="center" vertical="center" wrapText="1"/>
    </xf>
    <xf fontId="8" fillId="2" borderId="30" xfId="0">
      <alignment horizontal="center" vertical="center" wrapText="0"/>
    </xf>
    <xf fontId="8" fillId="4" borderId="75" xfId="0">
      <alignment horizontal="center" vertical="center" wrapText="1"/>
    </xf>
    <xf fontId="8" fillId="0" borderId="77" xfId="0">
      <alignment horizontal="center" vertical="center" wrapText="1"/>
    </xf>
    <xf numFmtId="300" fontId="8" fillId="2" borderId="77" xfId="0">
      <alignment horizontal="center" vertical="center" wrapText="1"/>
    </xf>
    <xf fontId="8" fillId="2" borderId="30" xfId="0">
      <alignment horizontal="center" vertical="center" wrapText="1"/>
    </xf>
    <xf numFmtId="300" fontId="8" fillId="2" borderId="30" xfId="0">
      <alignment horizontal="center" vertical="center" wrapText="1"/>
    </xf>
    <xf numFmtId="300" fontId="8" fillId="2" borderId="71" xfId="0">
      <alignment horizontal="center" vertical="center" wrapText="1"/>
    </xf>
    <xf fontId="9" fillId="4" borderId="74" xfId="0">
      <alignment vertical="center"/>
    </xf>
    <xf fontId="8" fillId="4" borderId="30" xfId="0">
      <alignment vertical="center" wrapText="0"/>
    </xf>
    <xf fontId="9" fillId="4" borderId="75" xfId="0">
      <alignment vertical="center"/>
    </xf>
    <xf numFmtId="300" fontId="8" fillId="0" borderId="35" xfId="0">
      <alignment horizontal="center" vertical="center" wrapText="1"/>
    </xf>
    <xf fontId="8" fillId="0" borderId="35" xfId="0">
      <alignment horizontal="center" vertical="center" wrapText="1"/>
    </xf>
    <xf fontId="8" fillId="0" borderId="28" xfId="0">
      <alignment horizontal="center" vertical="center" wrapText="1"/>
    </xf>
    <xf numFmtId="67" fontId="8" fillId="2" borderId="28" xfId="0">
      <alignment horizontal="center" vertical="center" wrapText="1"/>
    </xf>
    <xf numFmtId="0" fontId="8" fillId="8" borderId="35" xfId="0">
      <alignment horizontal="center" vertical="center" wrapText="1"/>
    </xf>
    <xf numFmtId="0" fontId="8" fillId="0" borderId="35" xfId="0">
      <alignment horizontal="center" vertical="center" textRotation="0" wrapText="1" justifyLastLine="0" shrinkToFit="0"/>
    </xf>
    <xf numFmtId="0" fontId="8" fillId="19" borderId="35" xfId="0">
      <alignment horizontal="center" vertical="center" wrapText="1"/>
    </xf>
    <xf fontId="8" fillId="11" borderId="35" xfId="0">
      <alignment horizontal="center" vertical="center" wrapText="1"/>
    </xf>
    <xf numFmtId="300" fontId="8" fillId="11" borderId="35" xfId="0">
      <alignment horizontal="center" vertical="center" wrapText="1"/>
    </xf>
    <xf fontId="8" fillId="11" borderId="50" xfId="0">
      <alignment horizontal="center" vertical="center" wrapText="1"/>
    </xf>
    <xf numFmtId="300" fontId="8" fillId="11" borderId="49" xfId="0">
      <alignment horizontal="center" vertical="center" wrapText="1"/>
    </xf>
    <xf numFmtId="0" fontId="8" fillId="4" borderId="35" xfId="0">
      <alignment horizontal="center" vertical="center" wrapText="1"/>
    </xf>
    <xf fontId="8" fillId="0" borderId="77" xfId="0">
      <alignment horizontal="center" vertical="center" wrapText="1"/>
    </xf>
    <xf fontId="8" fillId="13" borderId="30" xfId="0">
      <alignment horizontal="center" vertical="center" wrapText="1" justifyLastLine="0" shrinkToFit="0"/>
    </xf>
    <xf numFmtId="300" fontId="7" fillId="13" borderId="30" xfId="0">
      <alignment horizontal="center" vertical="center" wrapText="1" justifyLastLine="0" shrinkToFit="0"/>
    </xf>
    <xf numFmtId="300" fontId="8" fillId="13" borderId="30" xfId="0">
      <alignment horizontal="center" vertical="center" wrapText="1" justifyLastLine="0" shrinkToFit="0"/>
    </xf>
    <xf numFmtId="0" fontId="7" fillId="13" borderId="30" xfId="0">
      <alignment horizontal="center" vertical="center" wrapText="1" justifyLastLine="0" shrinkToFit="0"/>
    </xf>
    <xf numFmtId="300" fontId="8" fillId="13" borderId="71" xfId="0">
      <alignment horizontal="center" vertical="center" wrapText="1" justifyLastLine="0" shrinkToFit="0"/>
    </xf>
    <xf numFmtId="301" fontId="7" fillId="13" borderId="52" xfId="0">
      <alignment horizontal="center" vertical="center" wrapText="1" justifyLastLine="0" shrinkToFit="0"/>
    </xf>
    <xf numFmtId="302" fontId="8" fillId="4" borderId="30" xfId="0">
      <alignment vertical="center" wrapText="1"/>
    </xf>
    <xf fontId="8" fillId="0" borderId="43" xfId="0">
      <alignment vertical="center" wrapText="1"/>
    </xf>
    <xf fontId="8" fillId="0" borderId="35" xfId="0">
      <alignment horizontal="center" vertical="center" wrapText="1"/>
    </xf>
    <xf fontId="8" fillId="4" borderId="35" xfId="0">
      <alignment vertical="center" wrapText="1"/>
    </xf>
    <xf fontId="8" fillId="0" borderId="45" xfId="0">
      <alignment vertical="center" wrapText="1"/>
    </xf>
    <xf fontId="8" fillId="2" borderId="50" xfId="0">
      <alignment horizontal="center" vertical="center" wrapText="1"/>
    </xf>
    <xf fontId="8" fillId="0" borderId="28" xfId="0">
      <alignment horizontal="center" vertical="center" wrapText="1"/>
    </xf>
    <xf fontId="8" fillId="8" borderId="28" xfId="0">
      <alignment horizontal="center" vertical="center" wrapText="1"/>
    </xf>
    <xf numFmtId="301" fontId="8" fillId="4" borderId="28" xfId="0">
      <alignment horizontal="center" vertical="center" wrapText="1"/>
    </xf>
    <xf fontId="8" fillId="4" borderId="28" xfId="0">
      <alignment vertical="center" wrapText="1"/>
    </xf>
    <xf fontId="8" fillId="0" borderId="48" xfId="0">
      <alignment vertical="center" wrapText="1"/>
    </xf>
    <xf numFmtId="301" fontId="7" fillId="2" borderId="52" xfId="0">
      <alignment horizontal="center" vertical="center" wrapText="1" justifyLastLine="0" shrinkToFit="0"/>
    </xf>
    <xf fontId="8" fillId="4" borderId="30" xfId="0">
      <alignment vertical="center" wrapText="1"/>
    </xf>
    <xf fontId="8" fillId="3" borderId="30" xfId="0">
      <alignment horizontal="center" vertical="center" wrapText="0"/>
    </xf>
    <xf fontId="8" fillId="3" borderId="30" xfId="0">
      <alignment horizontal="center" vertical="center" wrapText="1"/>
    </xf>
    <xf fontId="8" fillId="3" borderId="30" xfId="0">
      <alignment horizontal="center" vertical="center" textRotation="0" wrapText="1" justifyLastLine="0" shrinkToFit="0"/>
    </xf>
    <xf numFmtId="300" fontId="7" fillId="3" borderId="30" xfId="0">
      <alignment horizontal="center" vertical="center" wrapText="1"/>
    </xf>
    <xf numFmtId="300" fontId="8" fillId="3" borderId="30" xfId="0">
      <alignment horizontal="center" vertical="center" wrapText="1"/>
    </xf>
    <xf numFmtId="0" fontId="7" fillId="3" borderId="30" xfId="0">
      <alignment horizontal="center" vertical="center" wrapText="1"/>
    </xf>
    <xf numFmtId="300" fontId="8" fillId="3" borderId="71" xfId="0">
      <alignment horizontal="center" vertical="center" wrapText="1"/>
    </xf>
    <xf numFmtId="0" fontId="7" fillId="12" borderId="14" xfId="0">
      <alignment horizontal="center" vertical="center" wrapText="1"/>
    </xf>
    <xf fontId="8" fillId="3" borderId="50" xfId="0">
      <alignment horizontal="center" vertical="center" wrapText="1"/>
    </xf>
    <xf numFmtId="0" fontId="7" fillId="15" borderId="28" xfId="0">
      <alignment horizontal="center" vertical="center" wrapText="1"/>
    </xf>
    <xf fontId="8" fillId="20" borderId="20" xfId="0">
      <alignment horizontal="center" vertical="center" textRotation="0" wrapText="1"/>
    </xf>
    <xf fontId="8" fillId="4" borderId="28" xfId="0">
      <alignment horizontal="center" vertical="center" wrapText="1"/>
    </xf>
    <xf numFmtId="301" fontId="7" fillId="2" borderId="88" xfId="0">
      <alignment horizontal="center" vertical="center" wrapText="1" justifyLastLine="0" shrinkToFit="0"/>
    </xf>
    <xf numFmtId="300" fontId="8" fillId="2" borderId="89" xfId="0">
      <alignment horizontal="center" vertical="center" wrapText="1"/>
    </xf>
    <xf numFmtId="301" fontId="7" fillId="3" borderId="52" xfId="0">
      <alignment horizontal="center" vertical="center" wrapText="1" justifyLastLine="0" shrinkToFit="0"/>
    </xf>
    <xf numFmtId="300" fontId="8" fillId="2" borderId="90" xfId="0">
      <alignment horizontal="center" vertical="center" wrapText="1"/>
    </xf>
    <xf fontId="8" fillId="8" borderId="50" xfId="0">
      <alignment horizontal="center" vertical="center" wrapText="1"/>
    </xf>
    <xf numFmtId="300" fontId="8" fillId="8" borderId="90" xfId="0">
      <alignment horizontal="center" vertical="center" wrapText="1"/>
    </xf>
    <xf numFmtId="300" fontId="8" fillId="4" borderId="91" xfId="0">
      <alignment horizontal="center" vertical="center" wrapText="1"/>
    </xf>
    <xf numFmtId="300" fontId="8" fillId="8" borderId="91" xfId="0">
      <alignment horizontal="center" vertical="center" wrapText="1"/>
    </xf>
    <xf fontId="8" fillId="4" borderId="92" xfId="0">
      <alignment horizontal="center" vertical="center" wrapText="1"/>
    </xf>
    <xf fontId="8" fillId="2" borderId="89" xfId="0">
      <alignment horizontal="center" vertical="center" wrapText="0"/>
    </xf>
    <xf fontId="8" fillId="4" borderId="89" xfId="0">
      <alignment horizontal="center" vertical="center" wrapText="1"/>
    </xf>
    <xf fontId="8" fillId="0" borderId="89" xfId="0">
      <alignment horizontal="center" vertical="center" wrapText="1"/>
    </xf>
    <xf fontId="8" fillId="2" borderId="89" xfId="0">
      <alignment horizontal="center" vertical="center" wrapText="1"/>
    </xf>
    <xf fontId="8" fillId="2" borderId="89" xfId="0">
      <alignment horizontal="center" vertical="center" textRotation="0" wrapText="1" justifyLastLine="0" shrinkToFit="0"/>
    </xf>
    <xf numFmtId="300" fontId="7" fillId="2" borderId="89" xfId="0">
      <alignment horizontal="center" vertical="center" wrapText="1"/>
    </xf>
    <xf numFmtId="0" fontId="7" fillId="2" borderId="89" xfId="0">
      <alignment horizontal="center" vertical="center" wrapText="1"/>
    </xf>
    <xf numFmtId="0" fontId="7" fillId="2" borderId="89" xfId="0" applyNumberFormat="1" applyFont="1" applyFill="1" applyBorder="1" applyAlignment="1">
      <alignment horizontal="center" vertical="center" wrapText="1"/>
    </xf>
    <xf fontId="8" fillId="4" borderId="89" xfId="0">
      <alignment vertical="center" wrapText="1"/>
    </xf>
    <xf fontId="8" fillId="0" borderId="93" xfId="0">
      <alignment vertical="center" wrapText="1"/>
    </xf>
    <xf fontId="9" fillId="4" borderId="94" xfId="0">
      <alignment vertical="center"/>
    </xf>
    <xf fontId="8" fillId="4" borderId="90" xfId="0">
      <alignment vertical="center" wrapText="0"/>
    </xf>
    <xf fontId="9" fillId="4" borderId="90" xfId="0">
      <alignment vertical="center"/>
    </xf>
    <xf numFmtId="300" fontId="8" fillId="0" borderId="90" xfId="0">
      <alignment horizontal="center" vertical="center" textRotation="0" wrapText="1" justifyLastLine="0" shrinkToFit="0"/>
    </xf>
    <xf fontId="8" fillId="0" borderId="90" xfId="0">
      <alignment horizontal="center" vertical="center" wrapText="1"/>
    </xf>
    <xf fontId="7" fillId="2" borderId="90" xfId="0">
      <alignment horizontal="center" vertical="center" textRotation="0" wrapText="1" indent="0" justifyLastLine="0" shrinkToFit="0"/>
    </xf>
    <xf fontId="8" fillId="4" borderId="90" xfId="0">
      <alignment vertical="center" wrapText="1"/>
    </xf>
    <xf fontId="8" fillId="0" borderId="95" xfId="0">
      <alignment vertical="center" wrapText="1"/>
    </xf>
    <xf fontId="8" fillId="2" borderId="90" xfId="0">
      <alignment horizontal="center" vertical="center" wrapText="1"/>
    </xf>
    <xf numFmtId="0" fontId="8" fillId="0" borderId="90" xfId="0">
      <alignment horizontal="center" vertical="center" textRotation="0" wrapText="1" justifyLastLine="0" shrinkToFit="0"/>
    </xf>
    <xf numFmtId="0" fontId="7" fillId="2" borderId="90" xfId="0">
      <alignment horizontal="center" vertical="center" wrapText="1"/>
    </xf>
    <xf fontId="8" fillId="15" borderId="90" xfId="0">
      <alignment horizontal="center" vertical="center" wrapText="1"/>
    </xf>
    <xf numFmtId="300" fontId="8" fillId="15" borderId="90" xfId="0">
      <alignment horizontal="center" vertical="center" wrapText="1"/>
    </xf>
    <xf fontId="8" fillId="4" borderId="90" xfId="0">
      <alignment horizontal="center" vertical="center" wrapText="1"/>
    </xf>
    <xf fontId="9" fillId="4" borderId="96" xfId="0">
      <alignment vertical="center"/>
    </xf>
    <xf fontId="8" fillId="4" borderId="91" xfId="0">
      <alignment vertical="center" wrapText="0"/>
    </xf>
    <xf fontId="9" fillId="4" borderId="91" xfId="0">
      <alignment vertical="center"/>
    </xf>
    <xf fontId="8" fillId="0" borderId="91" xfId="0">
      <alignment horizontal="center" vertical="center" wrapText="1"/>
    </xf>
    <xf numFmtId="67" fontId="8" fillId="2" borderId="91" xfId="0">
      <alignment horizontal="center" vertical="center" wrapText="1"/>
    </xf>
    <xf numFmtId="0" fontId="8" fillId="4" borderId="91" xfId="0">
      <alignment horizontal="center" vertical="center" wrapText="1"/>
    </xf>
    <xf numFmtId="0" fontId="7" fillId="2" borderId="91" xfId="0">
      <alignment horizontal="center" vertical="center" wrapText="1"/>
    </xf>
    <xf fontId="8" fillId="4" borderId="91" xfId="0">
      <alignment horizontal="center" vertical="center" wrapText="1"/>
    </xf>
    <xf numFmtId="301" fontId="8" fillId="4" borderId="91" xfId="0">
      <alignment horizontal="center" vertical="center" wrapText="1"/>
    </xf>
    <xf fontId="8" fillId="4" borderId="91" xfId="0">
      <alignment vertical="center" wrapText="1"/>
    </xf>
    <xf fontId="8" fillId="0" borderId="97" xfId="0">
      <alignment vertical="center" wrapText="1"/>
    </xf>
    <xf fontId="8" fillId="3" borderId="89" xfId="0">
      <alignment horizontal="center" vertical="center" wrapText="0"/>
    </xf>
    <xf fontId="8" fillId="3" borderId="89" xfId="0">
      <alignment horizontal="center" vertical="center" wrapText="1"/>
    </xf>
    <xf fontId="8" fillId="3" borderId="89" xfId="0">
      <alignment horizontal="center" vertical="center" textRotation="0" wrapText="1" justifyLastLine="0" shrinkToFit="0"/>
    </xf>
    <xf numFmtId="300" fontId="7" fillId="3" borderId="89" xfId="0">
      <alignment horizontal="center" vertical="center" wrapText="1"/>
    </xf>
    <xf numFmtId="300" fontId="8" fillId="3" borderId="89" xfId="0">
      <alignment horizontal="center" vertical="center" wrapText="1"/>
    </xf>
    <xf numFmtId="0" fontId="7" fillId="3" borderId="89" xfId="0">
      <alignment horizontal="center" vertical="center" wrapText="1"/>
    </xf>
    <xf fontId="8" fillId="15" borderId="35" xfId="0">
      <alignment horizontal="center" vertical="center" textRotation="0" wrapText="1" justifyLastLine="0" shrinkToFit="0"/>
    </xf>
    <xf numFmtId="0" fontId="7" fillId="15" borderId="80" xfId="0">
      <alignment horizontal="center" vertical="center" wrapText="1"/>
    </xf>
    <xf numFmtId="0" fontId="7" fillId="0" borderId="14" xfId="0">
      <alignment horizontal="center" vertical="center" wrapText="1"/>
    </xf>
    <xf numFmtId="300" fontId="8" fillId="4" borderId="90" xfId="0">
      <alignment horizontal="center" vertical="center" wrapText="1"/>
    </xf>
    <xf fontId="8" fillId="3" borderId="90" xfId="0">
      <alignment horizontal="center" vertical="center" wrapText="1"/>
    </xf>
    <xf numFmtId="301" fontId="8" fillId="4" borderId="90" xfId="0">
      <alignment horizontal="center" vertical="center" wrapText="1"/>
    </xf>
    <xf numFmtId="0" fontId="7" fillId="3" borderId="91" xfId="0">
      <alignment horizontal="center" vertical="center" wrapText="1"/>
    </xf>
    <xf numFmtId="0" fontId="7" fillId="4" borderId="89" xfId="0" applyNumberFormat="1" applyFont="1" applyFill="1" applyBorder="1" applyAlignment="1">
      <alignment horizontal="center" vertical="center" wrapText="1"/>
    </xf>
    <xf numFmtId="300" fontId="8" fillId="3" borderId="90" xfId="0">
      <alignment horizontal="center" vertical="center" wrapText="1"/>
    </xf>
    <xf fontId="8" fillId="8" borderId="90" xfId="0">
      <alignment horizontal="center" vertical="center" wrapText="1"/>
    </xf>
    <xf numFmtId="300" fontId="8" fillId="0" borderId="91" xfId="0">
      <alignment horizontal="center" vertical="center" wrapText="1"/>
    </xf>
    <xf numFmtId="0" fontId="8" fillId="11" borderId="91" xfId="0">
      <alignment horizontal="center" vertical="center" wrapText="1"/>
    </xf>
    <xf numFmtId="0" fontId="7" fillId="11" borderId="91" xfId="0">
      <alignment horizontal="center" vertical="center" wrapText="1"/>
    </xf>
    <xf numFmtId="300" fontId="8" fillId="11" borderId="91" xfId="0">
      <alignment horizontal="center" vertical="center" wrapText="1"/>
    </xf>
    <xf fontId="8" fillId="11" borderId="91" xfId="0">
      <alignment horizontal="center" vertical="center" wrapText="1"/>
    </xf>
    <xf numFmtId="0" fontId="8" fillId="8" borderId="91" xfId="0">
      <alignment horizontal="center" vertical="center" wrapText="1"/>
    </xf>
    <xf numFmtId="0" fontId="7" fillId="8" borderId="91" xfId="0">
      <alignment horizontal="center" vertical="center" wrapText="1"/>
    </xf>
    <xf fontId="8" fillId="8" borderId="91" xfId="0">
      <alignment horizontal="center" vertical="center" wrapText="1"/>
    </xf>
    <xf numFmtId="0" fontId="8" fillId="19" borderId="91" xfId="0">
      <alignment horizontal="center" vertical="center" wrapText="1"/>
    </xf>
    <xf numFmtId="0" fontId="7" fillId="19" borderId="91" xfId="0">
      <alignment horizontal="center" vertical="center" wrapText="1"/>
    </xf>
    <xf numFmtId="300" fontId="8" fillId="19" borderId="91" xfId="0">
      <alignment horizontal="center" vertical="center" wrapText="1"/>
    </xf>
    <xf fontId="8" fillId="19" borderId="91" xfId="0">
      <alignment horizontal="center" vertical="center" wrapText="1"/>
    </xf>
    <xf fontId="14" fillId="3" borderId="89" xfId="0">
      <alignment horizontal="center" vertical="center" textRotation="0" wrapText="1" justifyLastLine="0" shrinkToFit="0"/>
    </xf>
    <xf fontId="14" fillId="3" borderId="35" xfId="0">
      <alignment horizontal="center" vertical="center" textRotation="0" wrapText="1" justifyLastLine="0" shrinkToFit="0"/>
    </xf>
    <xf fontId="14" fillId="2" borderId="90" xfId="0">
      <alignment horizontal="center" vertical="center" wrapText="1"/>
    </xf>
    <xf numFmtId="0" fontId="7" fillId="21" borderId="91" xfId="0">
      <alignment horizontal="center" vertical="center" wrapText="1"/>
    </xf>
    <xf fontId="14" fillId="22" borderId="35" xfId="0">
      <alignment horizontal="center" vertical="center" textRotation="0" wrapText="1" justifyLastLine="0" shrinkToFit="0"/>
    </xf>
    <xf fontId="14" fillId="5" borderId="90" xfId="0">
      <alignment horizontal="center" vertical="center" wrapText="1"/>
    </xf>
    <xf fontId="14" fillId="8" borderId="90" xfId="0">
      <alignment horizontal="center" vertical="center" wrapText="1"/>
    </xf>
    <xf numFmtId="0" fontId="7" fillId="3" borderId="91" xfId="0">
      <alignment horizontal="center" vertical="center" wrapText="1"/>
    </xf>
    <xf numFmtId="300" fontId="8" fillId="21" borderId="91" xfId="0">
      <alignment horizontal="center" vertical="center" wrapText="1"/>
    </xf>
    <xf fontId="8" fillId="3" borderId="35" xfId="0">
      <alignment horizontal="center" vertical="center" textRotation="0" wrapText="1" justifyLastLine="0" shrinkToFit="0"/>
    </xf>
    <xf fontId="14" fillId="3" borderId="35" xfId="0">
      <alignment horizontal="center" vertical="center" textRotation="0" wrapText="1" justifyLastLine="0" shrinkToFit="0"/>
    </xf>
    <xf numFmtId="0" fontId="7" fillId="3" borderId="80" xfId="0">
      <alignment horizontal="center" vertical="center" wrapText="1"/>
    </xf>
    <xf fontId="8" fillId="19" borderId="90" xfId="0">
      <alignment horizontal="center" vertical="center" wrapText="1"/>
    </xf>
    <xf fontId="14" fillId="19" borderId="90" xfId="0">
      <alignment horizontal="center" vertical="center" wrapText="1"/>
    </xf>
    <xf numFmtId="300" fontId="8" fillId="19" borderId="90" xfId="0">
      <alignment horizontal="center" vertical="center" wrapText="1"/>
    </xf>
    <xf numFmtId="0" fontId="8" fillId="2" borderId="91" xfId="0">
      <alignment horizontal="center" vertical="center" wrapText="1"/>
    </xf>
    <xf numFmtId="300" fontId="8" fillId="2" borderId="91" xfId="0">
      <alignment horizontal="center" vertical="center" wrapText="1"/>
    </xf>
    <xf fontId="8" fillId="2" borderId="91" xfId="0">
      <alignment horizontal="center" vertical="center" wrapText="1"/>
    </xf>
    <xf fontId="14" fillId="15" borderId="35" xfId="0">
      <alignment horizontal="center" vertical="center" textRotation="0" wrapText="1" justifyLastLine="0" shrinkToFit="0"/>
    </xf>
    <xf fontId="9" fillId="4" borderId="98" xfId="0">
      <alignment vertical="center"/>
    </xf>
    <xf fontId="8" fillId="0" borderId="99" xfId="0">
      <alignment horizontal="center" vertical="center" textRotation="0" wrapText="1" indent="0" justifyLastLine="0" shrinkToFit="0"/>
    </xf>
    <xf numFmtId="300" fontId="7" fillId="2" borderId="99" xfId="0">
      <alignment horizontal="center" vertical="center" textRotation="0" wrapText="1" indent="0" justifyLastLine="0" shrinkToFit="0"/>
    </xf>
    <xf fontId="8" fillId="2" borderId="99" xfId="0">
      <alignment horizontal="center" vertical="center" textRotation="0" wrapText="1" indent="0" justifyLastLine="0" shrinkToFit="0"/>
    </xf>
    <xf fontId="14" fillId="3" borderId="99" xfId="0">
      <alignment horizontal="center" vertical="center" textRotation="0" wrapText="1" indent="0" justifyLastLine="0" shrinkToFit="0"/>
    </xf>
    <xf numFmtId="300" fontId="7" fillId="2" borderId="99" xfId="0">
      <alignment horizontal="center" vertical="center" wrapText="1"/>
    </xf>
    <xf numFmtId="0" fontId="7" fillId="2" borderId="99" xfId="0">
      <alignment horizontal="center" vertical="center" wrapText="1"/>
    </xf>
    <xf numFmtId="300" fontId="7" fillId="2" borderId="100" xfId="0">
      <alignment horizontal="center" vertical="center" wrapText="1"/>
    </xf>
    <xf numFmtId="301" fontId="7" fillId="2" borderId="101" xfId="0">
      <alignment horizontal="center" vertical="center" wrapText="1" justifyLastLine="0" shrinkToFit="0"/>
    </xf>
    <xf numFmtId="0" fontId="7" fillId="2" borderId="99" xfId="0" applyNumberFormat="1" applyFont="1" applyFill="1" applyBorder="1" applyAlignment="1">
      <alignment horizontal="center" vertical="center" wrapText="1"/>
    </xf>
    <xf numFmtId="0" fontId="8" fillId="4" borderId="102" xfId="0">
      <alignment horizontal="center" vertical="center" wrapText="0"/>
    </xf>
    <xf fontId="9" fillId="4" borderId="103" xfId="0">
      <alignment vertical="center"/>
    </xf>
    <xf fontId="14" fillId="3" borderId="35" xfId="0">
      <alignment horizontal="center" vertical="center" textRotation="0" wrapText="1" indent="0" justifyLastLine="0" shrinkToFit="0"/>
    </xf>
    <xf numFmtId="300" fontId="8" fillId="2" borderId="104" xfId="0">
      <alignment horizontal="center" vertical="center" textRotation="0" wrapText="1" indent="0" justifyLastLine="0" shrinkToFit="0"/>
    </xf>
    <xf numFmtId="301" fontId="7" fillId="3" borderId="101" xfId="0">
      <alignment horizontal="center" vertical="center" wrapText="1" justifyLastLine="0" shrinkToFit="0"/>
    </xf>
    <xf fontId="8" fillId="4" borderId="80" xfId="0">
      <alignment vertical="center" wrapText="1"/>
    </xf>
    <xf fontId="8" fillId="0" borderId="84" xfId="0">
      <alignment vertical="center" wrapText="1"/>
    </xf>
    <xf fontId="8" fillId="4" borderId="102" xfId="0">
      <alignment vertical="center" wrapText="0"/>
    </xf>
    <xf fontId="14" fillId="2" borderId="35" xfId="0">
      <alignment horizontal="center" vertical="center" textRotation="0" wrapText="1" justifyLastLine="0" shrinkToFit="0"/>
    </xf>
    <xf fontId="14" fillId="5" borderId="35" xfId="0">
      <alignment horizontal="center" vertical="center" textRotation="0" wrapText="1" indent="0" justifyLastLine="0" shrinkToFit="0"/>
    </xf>
    <xf fontId="8" fillId="4" borderId="80" xfId="0">
      <alignment horizontal="center" vertical="center" wrapText="1"/>
    </xf>
    <xf fontId="8" fillId="15" borderId="35" xfId="0">
      <alignment horizontal="center" vertical="center" wrapText="1"/>
    </xf>
    <xf fontId="8" fillId="8" borderId="80" xfId="0">
      <alignment horizontal="center" vertical="center" wrapText="1"/>
    </xf>
    <xf fontId="8" fillId="12" borderId="28" xfId="0">
      <alignment horizontal="center" vertical="center" textRotation="0" wrapText="1" indent="0" justifyLastLine="0" shrinkToFit="0"/>
    </xf>
    <xf numFmtId="0" fontId="7" fillId="3" borderId="28" xfId="0">
      <alignment horizontal="center" vertical="center" wrapText="1"/>
    </xf>
    <xf fontId="8" fillId="2" borderId="28" xfId="0">
      <alignment horizontal="center" vertical="center" wrapText="1"/>
    </xf>
    <xf fontId="8" fillId="10" borderId="90" xfId="0">
      <alignment horizontal="center" vertical="center" wrapText="1"/>
    </xf>
    <xf fontId="14" fillId="10" borderId="90" xfId="0">
      <alignment horizontal="center" vertical="center" wrapText="1"/>
    </xf>
    <xf numFmtId="300" fontId="8" fillId="10" borderId="90" xfId="0">
      <alignment horizontal="center" vertical="center" wrapText="1"/>
    </xf>
    <xf fontId="8" fillId="2" borderId="30" xfId="0">
      <alignment horizontal="center" vertical="center" textRotation="0" wrapText="0" indent="0" justifyLastLine="0" shrinkToFit="0"/>
    </xf>
    <xf fontId="8" fillId="0" borderId="30" xfId="0">
      <alignment horizontal="center" vertical="center" textRotation="0" wrapText="1" indent="0" justifyLastLine="0" shrinkToFit="0"/>
    </xf>
    <xf numFmtId="300" fontId="8" fillId="4" borderId="30" xfId="0">
      <alignment horizontal="center" vertical="center" textRotation="0" wrapText="1" indent="0" justifyLastLine="0" shrinkToFit="0"/>
    </xf>
    <xf fontId="14" fillId="5" borderId="30" xfId="0">
      <alignment horizontal="center" vertical="center" textRotation="0" wrapText="1" indent="0" justifyLastLine="0" shrinkToFit="0"/>
    </xf>
    <xf numFmtId="300" fontId="8" fillId="4" borderId="71" xfId="0">
      <alignment horizontal="center" vertical="center" textRotation="0" wrapText="1" indent="0" justifyLastLine="0" shrinkToFit="0"/>
    </xf>
    <xf numFmtId="301" fontId="8" fillId="4" borderId="52" xfId="0">
      <alignment horizontal="center" vertical="center" textRotation="0" wrapText="1" indent="0" justifyLastLine="0" shrinkToFit="0"/>
    </xf>
    <xf fontId="8" fillId="18" borderId="14" xfId="0">
      <alignment horizontal="center" vertical="center" textRotation="0" wrapText="1" indent="0" justifyLastLine="0" shrinkToFit="0"/>
    </xf>
    <xf fontId="8" fillId="0" borderId="35" xfId="0">
      <alignment horizontal="center" vertical="center" textRotation="0" wrapText="1" indent="0" justifyLastLine="0" shrinkToFit="0"/>
    </xf>
    <xf numFmtId="300" fontId="8" fillId="4" borderId="35" xfId="0">
      <alignment horizontal="center" vertical="center" textRotation="0" wrapText="1" indent="0" justifyLastLine="0" shrinkToFit="0"/>
    </xf>
    <xf fontId="8" fillId="4" borderId="50" xfId="0">
      <alignment horizontal="center" vertical="center" textRotation="0" wrapText="1" indent="0" justifyLastLine="0" shrinkToFit="0"/>
    </xf>
    <xf numFmtId="300" fontId="8" fillId="4" borderId="49" xfId="0">
      <alignment horizontal="center" vertical="center" textRotation="0" wrapText="1" indent="0" justifyLastLine="0" shrinkToFit="0"/>
    </xf>
    <xf numFmtId="301" fontId="8" fillId="4" borderId="42" xfId="0">
      <alignment horizontal="center" vertical="center" textRotation="0" wrapText="1" indent="0" justifyLastLine="0" shrinkToFit="0"/>
    </xf>
    <xf fontId="8" fillId="4" borderId="35" xfId="0">
      <alignment horizontal="center" vertical="center" textRotation="0" wrapText="1"/>
    </xf>
    <xf fontId="8" fillId="4" borderId="35" xfId="0">
      <alignment vertical="center" textRotation="0" wrapText="1" indent="0" justifyLastLine="0" shrinkToFit="0"/>
    </xf>
    <xf fontId="14" fillId="8" borderId="35" xfId="0">
      <alignment horizontal="center" vertical="center" textRotation="0" wrapText="1" indent="0" justifyLastLine="0" shrinkToFit="0"/>
    </xf>
    <xf numFmtId="300" fontId="8" fillId="8" borderId="35" xfId="0">
      <alignment horizontal="center" vertical="center" textRotation="0" wrapText="1" indent="0" justifyLastLine="0" shrinkToFit="0"/>
    </xf>
    <xf fontId="8" fillId="8" borderId="50" xfId="0">
      <alignment horizontal="center" vertical="center" textRotation="0" wrapText="1" indent="0" justifyLastLine="0" shrinkToFit="0"/>
    </xf>
    <xf fontId="8" fillId="8" borderId="49" xfId="0">
      <alignment horizontal="center" vertical="center" wrapText="1"/>
    </xf>
    <xf fontId="8" fillId="23" borderId="14" xfId="0">
      <alignment horizontal="center" vertical="center" textRotation="0" wrapText="1" indent="0" justifyLastLine="0" shrinkToFit="0"/>
    </xf>
    <xf fontId="8" fillId="0" borderId="28" xfId="0">
      <alignment horizontal="center" vertical="center" textRotation="0" wrapText="1" indent="0" justifyLastLine="0" shrinkToFit="0"/>
    </xf>
    <xf fontId="14" fillId="5" borderId="28" xfId="0">
      <alignment horizontal="center" vertical="center" textRotation="0" wrapText="1" indent="0" justifyLastLine="0" shrinkToFit="0"/>
    </xf>
    <xf fontId="8" fillId="4" borderId="28" xfId="0">
      <alignment horizontal="center" vertical="center" textRotation="0" wrapText="1" indent="0" justifyLastLine="0" shrinkToFit="0"/>
    </xf>
    <xf numFmtId="300" fontId="8" fillId="4" borderId="47" xfId="0">
      <alignment horizontal="center" vertical="center" textRotation="0" wrapText="1" indent="0" justifyLastLine="0" shrinkToFit="0"/>
    </xf>
    <xf fontId="8" fillId="4" borderId="28" xfId="0">
      <alignment vertical="center" textRotation="0" wrapText="1" indent="0" justifyLastLine="0" shrinkToFit="0"/>
    </xf>
    <xf fontId="8" fillId="22" borderId="35" xfId="0">
      <alignment horizontal="center" vertical="center" textRotation="0" wrapText="1" justifyLastLine="0" shrinkToFit="0"/>
    </xf>
    <xf numFmtId="300" fontId="7" fillId="22" borderId="35" xfId="0">
      <alignment horizontal="center" vertical="center" wrapText="1" justifyLastLine="0" shrinkToFit="0"/>
    </xf>
    <xf numFmtId="300" fontId="7" fillId="22" borderId="35" xfId="0">
      <alignment horizontal="center" vertical="center" wrapText="1"/>
    </xf>
    <xf numFmtId="300" fontId="8" fillId="22" borderId="49" xfId="0">
      <alignment horizontal="center" vertical="center" wrapText="1"/>
    </xf>
    <xf fontId="8" fillId="0" borderId="77" xfId="0">
      <alignment horizontal="center" vertical="center" textRotation="0" wrapText="1" indent="0" justifyLastLine="0" shrinkToFit="0"/>
    </xf>
    <xf fontId="9" fillId="0" borderId="50" xfId="0">
      <alignment vertical="center"/>
    </xf>
    <xf fontId="9" fillId="4" borderId="53" xfId="0">
      <alignment vertical="center"/>
    </xf>
    <xf numFmtId="0" fontId="7" fillId="2" borderId="35" xfId="0" applyNumberFormat="1" applyFont="1" applyFill="1" applyBorder="1" applyAlignment="1">
      <alignment horizontal="center" vertical="center" textRotation="0" wrapText="1" indent="0" justifyLastLine="0" shrinkToFit="0"/>
    </xf>
    <xf fontId="8" fillId="0" borderId="0" xfId="0">
      <alignment vertical="center"/>
    </xf>
    <xf numFmtId="300" fontId="8" fillId="12" borderId="86" xfId="0">
      <alignment horizontal="center" vertical="center" textRotation="0" wrapText="1" indent="0" justifyLastLine="0" shrinkToFit="0"/>
    </xf>
    <xf fontId="8" fillId="12" borderId="86" xfId="0">
      <alignment horizontal="center" vertical="center" textRotation="0" wrapText="1" indent="0" justifyLastLine="0" shrinkToFit="0"/>
    </xf>
    <xf fontId="7" fillId="2" borderId="86" xfId="0">
      <alignment horizontal="center" vertical="center" textRotation="0" wrapText="1" justifyLastLine="0" shrinkToFit="0"/>
    </xf>
    <xf fontId="8" fillId="0" borderId="105" xfId="0">
      <alignment vertical="center" wrapText="1"/>
    </xf>
    <xf fontId="14" fillId="2" borderId="35" xfId="0">
      <alignment horizontal="center" vertical="center" textRotation="0" wrapText="1" indent="0" justifyLastLine="0" shrinkToFit="0"/>
    </xf>
    <xf fontId="14" fillId="15" borderId="35" xfId="0">
      <alignment horizontal="center" vertical="center" wrapText="1"/>
    </xf>
    <xf numFmtId="0" fontId="8" fillId="12" borderId="90" xfId="0">
      <alignment horizontal="center" vertical="center" textRotation="0" wrapText="1" justifyLastLine="0" shrinkToFit="0"/>
    </xf>
    <xf fontId="14" fillId="2" borderId="35" xfId="0">
      <alignment horizontal="center" vertical="center" wrapText="1"/>
    </xf>
    <xf fontId="8" fillId="11" borderId="90" xfId="0">
      <alignment horizontal="center" vertical="center" wrapText="1"/>
    </xf>
    <xf fontId="14" fillId="11" borderId="90" xfId="0">
      <alignment horizontal="center" vertical="center" wrapText="1"/>
    </xf>
    <xf numFmtId="300" fontId="8" fillId="11" borderId="90" xfId="0">
      <alignment horizontal="center" vertical="center" wrapText="1"/>
    </xf>
    <xf fontId="8" fillId="13" borderId="90" xfId="0">
      <alignment horizontal="center" vertical="center" wrapText="1"/>
    </xf>
    <xf fontId="14" fillId="13" borderId="90" xfId="0">
      <alignment horizontal="center" vertical="center" wrapText="1"/>
    </xf>
    <xf numFmtId="300" fontId="8" fillId="13" borderId="90" xfId="0">
      <alignment horizontal="center" vertical="center" wrapText="1"/>
    </xf>
    <xf numFmtId="300" fontId="7" fillId="3" borderId="90" xfId="0">
      <alignment horizontal="center" vertical="center" textRotation="0" wrapText="1" justifyLastLine="0" shrinkToFit="0"/>
    </xf>
    <xf fontId="7" fillId="3" borderId="90" xfId="0">
      <alignment horizontal="center" vertical="center" wrapText="1"/>
    </xf>
    <xf fontId="7" fillId="3" borderId="35" xfId="0">
      <alignment horizontal="center" vertical="center" textRotation="0" wrapText="1" justifyLastLine="0" shrinkToFit="0"/>
    </xf>
    <xf numFmtId="300" fontId="7" fillId="2" borderId="49" xfId="0">
      <alignment horizontal="center" vertical="center" wrapText="1"/>
    </xf>
    <xf fontId="8" fillId="2" borderId="92" xfId="0">
      <alignment horizontal="center" vertical="center" wrapText="1"/>
    </xf>
    <xf fontId="8" fillId="2" borderId="89" xfId="0">
      <alignment vertical="center" wrapText="1"/>
    </xf>
    <xf fontId="8" fillId="3" borderId="93" xfId="0">
      <alignment vertical="center" wrapText="1"/>
    </xf>
    <xf fontId="8" fillId="11" borderId="35" xfId="0">
      <alignment horizontal="center" vertical="center" textRotation="0" wrapText="1" justifyLastLine="0" shrinkToFit="0"/>
    </xf>
    <xf numFmtId="0" fontId="7" fillId="11" borderId="80" xfId="0">
      <alignment horizontal="center" vertical="center" wrapText="1"/>
    </xf>
    <xf numFmtId="0" fontId="7" fillId="11" borderId="50" xfId="0">
      <alignment horizontal="center" vertical="center" wrapText="1"/>
    </xf>
    <xf fontId="8" fillId="0" borderId="77" xfId="0">
      <alignment horizontal="center" vertical="center" textRotation="0" wrapText="1"/>
    </xf>
    <xf numFmtId="0" fontId="7" fillId="13" borderId="77" xfId="0">
      <alignment horizontal="center" vertical="center" wrapText="1"/>
    </xf>
    <xf numFmtId="300" fontId="7" fillId="2" borderId="83" xfId="0">
      <alignment horizontal="center" vertical="center" wrapText="1"/>
    </xf>
    <xf numFmtId="0" fontId="7" fillId="2" borderId="104" xfId="0">
      <alignment horizontal="center" vertical="center" wrapText="1"/>
    </xf>
    <xf numFmtId="300" fontId="8" fillId="12" borderId="35" xfId="0">
      <alignment horizontal="center" vertical="center" textRotation="0" wrapText="1"/>
    </xf>
    <xf fontId="8" fillId="19" borderId="35" xfId="0">
      <alignment horizontal="center" vertical="center" textRotation="0" wrapText="1" justifyLastLine="0" shrinkToFit="0"/>
    </xf>
    <xf numFmtId="300" fontId="7" fillId="19" borderId="35" xfId="0">
      <alignment horizontal="center" vertical="center" wrapText="1"/>
    </xf>
    <xf numFmtId="0" fontId="7" fillId="19" borderId="80" xfId="0">
      <alignment horizontal="center" vertical="center" wrapText="1"/>
    </xf>
    <xf fontId="8" fillId="12" borderId="35" xfId="0">
      <alignment horizontal="center" vertical="center" textRotation="0" wrapText="1" justifyLastLine="0" shrinkToFit="0"/>
    </xf>
    <xf fontId="8" fillId="12" borderId="35" xfId="0">
      <alignment horizontal="center" vertical="center" textRotation="0" wrapText="1"/>
    </xf>
    <xf fontId="8" fillId="19" borderId="80" xfId="0">
      <alignment horizontal="center" vertical="center" wrapText="1"/>
    </xf>
    <xf fontId="8" fillId="10" borderId="89" xfId="0">
      <alignment horizontal="center" vertical="center" wrapText="1"/>
    </xf>
    <xf fontId="8" fillId="10" borderId="89" xfId="0">
      <alignment horizontal="center" vertical="center" textRotation="0" wrapText="1" justifyLastLine="0" shrinkToFit="0"/>
    </xf>
    <xf numFmtId="300" fontId="7" fillId="10" borderId="89" xfId="0">
      <alignment horizontal="center" vertical="center" wrapText="1"/>
    </xf>
    <xf numFmtId="300" fontId="8" fillId="10" borderId="89" xfId="0">
      <alignment horizontal="center" vertical="center" wrapText="1"/>
    </xf>
    <xf numFmtId="0" fontId="7" fillId="10" borderId="89" xfId="0">
      <alignment horizontal="center" vertical="center" wrapText="1"/>
    </xf>
    <xf numFmtId="0" fontId="7" fillId="19" borderId="50" xfId="0">
      <alignment horizontal="center" vertical="center" wrapText="1"/>
    </xf>
    <xf fontId="8" fillId="19" borderId="89" xfId="0">
      <alignment horizontal="center" vertical="center" wrapText="1"/>
    </xf>
    <xf fontId="8" fillId="19" borderId="89" xfId="0">
      <alignment horizontal="center" vertical="center" textRotation="0" wrapText="1" justifyLastLine="0" shrinkToFit="0"/>
    </xf>
    <xf numFmtId="300" fontId="7" fillId="19" borderId="89" xfId="0">
      <alignment horizontal="center" vertical="center" wrapText="1"/>
    </xf>
    <xf numFmtId="300" fontId="8" fillId="19" borderId="89" xfId="0">
      <alignment horizontal="center" vertical="center" wrapText="1"/>
    </xf>
    <xf numFmtId="0" fontId="7" fillId="19" borderId="89" xfId="0">
      <alignment horizontal="center" vertical="center" wrapText="1"/>
    </xf>
    <xf numFmtId="300" fontId="7" fillId="24" borderId="35" xfId="0">
      <alignment horizontal="center" vertical="center" wrapText="1"/>
    </xf>
    <xf fontId="8" fillId="4" borderId="0" xfId="0">
      <alignment horizontal="center" vertical="center" wrapText="1"/>
    </xf>
    <xf fontId="8" fillId="2" borderId="0" xfId="0">
      <alignment horizontal="center" vertical="center" wrapText="0"/>
    </xf>
    <xf fontId="8" fillId="0" borderId="0" xfId="0">
      <alignment horizontal="center" vertical="center" wrapText="1"/>
    </xf>
    <xf numFmtId="67" fontId="8" fillId="2" borderId="0" xfId="0">
      <alignment horizontal="center" vertical="center" wrapText="1"/>
    </xf>
    <xf numFmtId="0" fontId="8" fillId="4" borderId="0" xfId="0">
      <alignment horizontal="center" vertical="center" wrapText="1"/>
    </xf>
    <xf numFmtId="0" fontId="7" fillId="2" borderId="0" xfId="0">
      <alignment horizontal="center" vertical="center" wrapText="1"/>
    </xf>
    <xf numFmtId="300" fontId="8" fillId="4" borderId="0" xfId="0">
      <alignment horizontal="center" vertical="center" wrapText="1"/>
    </xf>
    <xf numFmtId="301" fontId="8" fillId="4" borderId="0" xfId="0">
      <alignment horizontal="center" vertical="center" wrapText="1"/>
    </xf>
    <xf fontId="8" fillId="2" borderId="0" xfId="0">
      <alignment horizontal="center" vertical="center" textRotation="0" wrapText="1"/>
    </xf>
    <xf fontId="8" fillId="4" borderId="0" xfId="0">
      <alignment vertical="center" wrapText="1"/>
    </xf>
    <xf fontId="8" fillId="25" borderId="74" xfId="0">
      <alignment horizontal="center" vertical="center" wrapText="1"/>
    </xf>
    <xf fontId="8" fillId="25" borderId="30" xfId="0">
      <alignment horizontal="center" vertical="center" wrapText="0"/>
    </xf>
    <xf fontId="8" fillId="25" borderId="75" xfId="0">
      <alignment horizontal="center" vertical="center" wrapText="1"/>
    </xf>
    <xf fontId="8" fillId="26" borderId="77" xfId="0">
      <alignment horizontal="center" vertical="center" wrapText="1"/>
    </xf>
    <xf numFmtId="300" fontId="8" fillId="25" borderId="77" xfId="0">
      <alignment horizontal="center" vertical="center" wrapText="1"/>
    </xf>
    <xf fontId="8" fillId="25" borderId="30" xfId="0">
      <alignment horizontal="center" vertical="center" wrapText="1"/>
    </xf>
    <xf fontId="8" fillId="25" borderId="30" xfId="0">
      <alignment horizontal="center" vertical="center" textRotation="0" wrapText="1" justifyLastLine="0" shrinkToFit="0"/>
    </xf>
    <xf numFmtId="300" fontId="7" fillId="25" borderId="30" xfId="0">
      <alignment horizontal="center" vertical="center" wrapText="1"/>
    </xf>
    <xf numFmtId="300" fontId="8" fillId="25" borderId="30" xfId="0">
      <alignment horizontal="center" vertical="center" wrapText="1"/>
    </xf>
    <xf numFmtId="0" fontId="7" fillId="25" borderId="30" xfId="0">
      <alignment horizontal="center" vertical="center" wrapText="1"/>
    </xf>
    <xf numFmtId="300" fontId="8" fillId="25" borderId="71" xfId="0">
      <alignment horizontal="center" vertical="center" wrapText="1"/>
    </xf>
    <xf numFmtId="301" fontId="7" fillId="25" borderId="88" xfId="0">
      <alignment horizontal="center" vertical="center" wrapText="1" justifyLastLine="0" shrinkToFit="0"/>
    </xf>
    <xf numFmtId="0" fontId="7" fillId="25" borderId="30" xfId="0" applyNumberFormat="1" applyFont="1" applyFill="1" applyBorder="1" applyAlignment="1">
      <alignment horizontal="center" vertical="center" wrapText="1"/>
    </xf>
    <xf numFmtId="0" fontId="7" fillId="25" borderId="14" xfId="0">
      <alignment horizontal="center" vertical="center" wrapText="1"/>
    </xf>
    <xf fontId="8" fillId="25" borderId="30" xfId="0">
      <alignment vertical="center" wrapText="1"/>
    </xf>
    <xf fontId="8" fillId="26" borderId="43" xfId="0">
      <alignment vertical="center" wrapText="1"/>
    </xf>
    <xf numFmtId="300" fontId="8" fillId="26" borderId="35" xfId="0">
      <alignment horizontal="center" vertical="center" textRotation="0" wrapText="1" justifyLastLine="0" shrinkToFit="0"/>
    </xf>
    <xf fontId="8" fillId="26" borderId="35" xfId="0">
      <alignment horizontal="center" vertical="center" wrapText="1"/>
    </xf>
    <xf fontId="7" fillId="25" borderId="35" xfId="0">
      <alignment horizontal="center" vertical="center" textRotation="0" wrapText="1" indent="0" justifyLastLine="0" shrinkToFit="0"/>
    </xf>
    <xf fontId="8" fillId="25" borderId="35" xfId="0">
      <alignment horizontal="center" vertical="center" textRotation="0" wrapText="1" justifyLastLine="0" shrinkToFit="0"/>
    </xf>
    <xf numFmtId="300" fontId="7" fillId="25" borderId="35" xfId="0">
      <alignment horizontal="center" vertical="center" wrapText="1"/>
    </xf>
    <xf numFmtId="0" fontId="7" fillId="25" borderId="80" xfId="0">
      <alignment horizontal="center" vertical="center" wrapText="1"/>
    </xf>
    <xf numFmtId="300" fontId="8" fillId="25" borderId="49" xfId="0">
      <alignment horizontal="center" vertical="center" wrapText="1"/>
    </xf>
    <xf fontId="8" fillId="25" borderId="35" xfId="0">
      <alignment horizontal="center" vertical="center" wrapText="1"/>
    </xf>
    <xf numFmtId="0" fontId="7" fillId="25" borderId="35" xfId="0" applyNumberFormat="1" applyFont="1" applyFill="1" applyBorder="1" applyAlignment="1">
      <alignment horizontal="center" vertical="center" wrapText="1"/>
    </xf>
    <xf fontId="8" fillId="25" borderId="35" xfId="0">
      <alignment vertical="center" wrapText="1"/>
    </xf>
    <xf fontId="8" fillId="26" borderId="45" xfId="0">
      <alignment vertical="center" wrapText="1"/>
    </xf>
    <xf numFmtId="300" fontId="8" fillId="25" borderId="35" xfId="0">
      <alignment horizontal="center" vertical="center" wrapText="1"/>
    </xf>
    <xf fontId="8" fillId="25" borderId="50" xfId="0">
      <alignment horizontal="center" vertical="center" wrapText="1"/>
    </xf>
    <xf numFmtId="0" fontId="8" fillId="26" borderId="35" xfId="0">
      <alignment horizontal="center" vertical="center" textRotation="0" wrapText="1" justifyLastLine="0" shrinkToFit="0"/>
    </xf>
    <xf numFmtId="0" fontId="7" fillId="25" borderId="35" xfId="0">
      <alignment horizontal="center" vertical="center" wrapText="1"/>
    </xf>
    <xf fontId="8" fillId="26" borderId="28" xfId="0">
      <alignment horizontal="center" vertical="center" wrapText="1"/>
    </xf>
    <xf numFmtId="67" fontId="8" fillId="25" borderId="28" xfId="0">
      <alignment horizontal="center" vertical="center" wrapText="1"/>
    </xf>
    <xf numFmtId="0" fontId="8" fillId="25" borderId="35" xfId="0">
      <alignment horizontal="center" vertical="center" wrapText="1"/>
    </xf>
    <xf numFmtId="0" fontId="7" fillId="25" borderId="28" xfId="0">
      <alignment horizontal="center" vertical="center" wrapText="1"/>
    </xf>
    <xf numFmtId="300" fontId="8" fillId="25" borderId="28" xfId="0">
      <alignment horizontal="center" vertical="center" wrapText="1"/>
    </xf>
    <xf fontId="8" fillId="25" borderId="28" xfId="0">
      <alignment horizontal="center" vertical="center" wrapText="1"/>
    </xf>
    <xf numFmtId="300" fontId="8" fillId="25" borderId="47" xfId="0">
      <alignment horizontal="center" vertical="center" wrapText="1"/>
    </xf>
    <xf fontId="8" fillId="25" borderId="20" xfId="0">
      <alignment horizontal="center" vertical="center" textRotation="0" wrapText="1"/>
    </xf>
    <xf fontId="8" fillId="25" borderId="28" xfId="0">
      <alignment vertical="center" wrapText="1"/>
    </xf>
    <xf fontId="8" fillId="26" borderId="48" xfId="0">
      <alignment vertical="center" wrapText="1"/>
    </xf>
    <xf numFmtId="300" fontId="8" fillId="25" borderId="89" xfId="0">
      <alignment horizontal="center" vertical="center" wrapText="1"/>
    </xf>
    <xf numFmtId="300" fontId="8" fillId="25" borderId="90" xfId="0">
      <alignment horizontal="center" vertical="center" wrapText="1"/>
    </xf>
    <xf numFmtId="300" fontId="8" fillId="25" borderId="91" xfId="0">
      <alignment horizontal="center" vertical="center" wrapText="1"/>
    </xf>
    <xf fontId="8" fillId="25" borderId="92" xfId="0">
      <alignment horizontal="center" vertical="center" wrapText="1"/>
    </xf>
    <xf fontId="8" fillId="25" borderId="89" xfId="0">
      <alignment horizontal="center" vertical="center" wrapText="0"/>
    </xf>
    <xf fontId="8" fillId="25" borderId="89" xfId="0">
      <alignment horizontal="center" vertical="center" wrapText="1"/>
    </xf>
    <xf fontId="8" fillId="26" borderId="89" xfId="0">
      <alignment horizontal="center" vertical="center" wrapText="1"/>
    </xf>
    <xf fontId="14" fillId="26" borderId="89" xfId="0">
      <alignment horizontal="center" vertical="center" textRotation="0" wrapText="1" justifyLastLine="0" shrinkToFit="0"/>
    </xf>
    <xf numFmtId="300" fontId="7" fillId="25" borderId="89" xfId="0">
      <alignment horizontal="center" vertical="center" wrapText="1"/>
    </xf>
    <xf numFmtId="0" fontId="7" fillId="25" borderId="89" xfId="0">
      <alignment horizontal="center" vertical="center" wrapText="1"/>
    </xf>
    <xf numFmtId="0" fontId="7" fillId="25" borderId="89" xfId="0" applyNumberFormat="1" applyFont="1" applyFill="1" applyBorder="1" applyAlignment="1">
      <alignment horizontal="center" vertical="center" wrapText="1"/>
    </xf>
    <xf fontId="8" fillId="25" borderId="89" xfId="0">
      <alignment vertical="center" wrapText="1"/>
    </xf>
    <xf fontId="8" fillId="26" borderId="93" xfId="0">
      <alignment vertical="center" wrapText="1"/>
    </xf>
    <xf numFmtId="300" fontId="8" fillId="26" borderId="90" xfId="0">
      <alignment horizontal="center" vertical="center" textRotation="0" wrapText="1" justifyLastLine="0" shrinkToFit="0"/>
    </xf>
    <xf fontId="8" fillId="26" borderId="90" xfId="0">
      <alignment horizontal="center" vertical="center" wrapText="1"/>
    </xf>
    <xf fontId="7" fillId="25" borderId="90" xfId="0">
      <alignment horizontal="center" vertical="center" textRotation="0" wrapText="1" indent="0" justifyLastLine="0" shrinkToFit="0"/>
    </xf>
    <xf fontId="14" fillId="26" borderId="35" xfId="0">
      <alignment horizontal="center" vertical="center" textRotation="0" wrapText="1" justifyLastLine="0" shrinkToFit="0"/>
    </xf>
    <xf fontId="8" fillId="25" borderId="90" xfId="0">
      <alignment vertical="center" wrapText="1"/>
    </xf>
    <xf fontId="8" fillId="26" borderId="95" xfId="0">
      <alignment vertical="center" wrapText="1"/>
    </xf>
    <xf fontId="8" fillId="25" borderId="90" xfId="0">
      <alignment horizontal="center" vertical="center" wrapText="1"/>
    </xf>
    <xf fontId="14" fillId="25" borderId="90" xfId="0">
      <alignment horizontal="center" vertical="center" wrapText="1"/>
    </xf>
    <xf numFmtId="0" fontId="8" fillId="26" borderId="90" xfId="0">
      <alignment horizontal="center" vertical="center" textRotation="0" wrapText="1" justifyLastLine="0" shrinkToFit="0"/>
    </xf>
    <xf numFmtId="0" fontId="7" fillId="25" borderId="90" xfId="0">
      <alignment horizontal="center" vertical="center" wrapText="1"/>
    </xf>
    <xf fontId="8" fillId="26" borderId="91" xfId="0">
      <alignment horizontal="center" vertical="center" wrapText="1"/>
    </xf>
    <xf numFmtId="0" fontId="8" fillId="25" borderId="91" xfId="0">
      <alignment horizontal="center" vertical="center" wrapText="1"/>
    </xf>
    <xf numFmtId="0" fontId="7" fillId="26" borderId="91" xfId="0">
      <alignment horizontal="center" vertical="center" wrapText="1"/>
    </xf>
    <xf fontId="8" fillId="25" borderId="91" xfId="0">
      <alignment horizontal="center" vertical="center" wrapText="1"/>
    </xf>
    <xf fontId="8" fillId="25" borderId="91" xfId="0">
      <alignment vertical="center" wrapText="1"/>
    </xf>
    <xf fontId="8" fillId="26" borderId="97" xfId="0">
      <alignment vertical="center" wrapText="1"/>
    </xf>
    <xf numFmtId="303" fontId="10" fillId="2" borderId="106" xfId="0" applyNumberFormat="1" applyFont="1" applyFill="1" applyBorder="1" applyAlignment="1">
      <alignment horizontal="center" vertical="center" wrapText="1"/>
    </xf>
    <xf numFmtId="303" fontId="10" fillId="7" borderId="25" xfId="0" applyNumberFormat="1" applyFont="1" applyFill="1" applyBorder="1" applyAlignment="1">
      <alignment horizontal="center" vertical="center"/>
    </xf>
    <xf numFmtId="303" fontId="10" fillId="7" borderId="106" xfId="0" applyNumberFormat="1" applyFont="1" applyFill="1" applyBorder="1" applyAlignment="1">
      <alignment horizontal="center" vertical="center"/>
    </xf>
    <xf fontId="17" fillId="0" borderId="0" xfId="0">
      <alignment vertical="center"/>
    </xf>
    <xf numFmtId="303" fontId="7" fillId="2" borderId="106" xfId="0" applyNumberFormat="1" applyFont="1" applyFill="1" applyBorder="1" applyAlignment="1">
      <alignment horizontal="center" vertical="center" wrapText="1"/>
    </xf>
    <xf numFmtId="303" fontId="7" fillId="4" borderId="106" xfId="0" applyNumberFormat="1" applyFont="1" applyFill="1" applyBorder="1" applyAlignment="1">
      <alignment horizontal="center" vertical="center" wrapText="1"/>
    </xf>
    <xf numFmtId="300" fontId="7" fillId="27" borderId="106" xfId="0" applyNumberFormat="1" applyFont="1" applyFill="1" applyBorder="1" applyAlignment="1">
      <alignment horizontal="center" vertical="center" wrapText="1"/>
    </xf>
    <xf numFmtId="300" fontId="7" fillId="4" borderId="25" xfId="0" applyNumberFormat="1" applyFont="1" applyFill="1" applyBorder="1" applyAlignment="1">
      <alignment horizontal="center" vertical="center" wrapText="1"/>
    </xf>
    <xf numFmtId="300" fontId="7" fillId="2" borderId="106" xfId="0" applyNumberFormat="1" applyFont="1" applyFill="1" applyBorder="1" applyAlignment="1">
      <alignment horizontal="center" vertical="center" wrapText="1"/>
    </xf>
    <xf numFmtId="300" fontId="7" fillId="7" borderId="106" xfId="0" applyNumberFormat="1" applyFont="1" applyFill="1" applyBorder="1" applyAlignment="1">
      <alignment horizontal="center" vertical="center" wrapText="1"/>
    </xf>
    <xf numFmtId="301" fontId="7" fillId="4" borderId="106" xfId="0" applyNumberFormat="1" applyFont="1" applyFill="1" applyBorder="1" applyAlignment="1">
      <alignment horizontal="center" vertical="center" wrapText="1"/>
    </xf>
    <xf numFmtId="303" fontId="7" fillId="4" borderId="25" xfId="0" applyNumberFormat="1" applyFont="1" applyFill="1" applyBorder="1" applyAlignment="1">
      <alignment horizontal="center" vertical="center" wrapText="1"/>
    </xf>
    <xf numFmtId="303" fontId="7" fillId="4" borderId="106" xfId="0" applyNumberFormat="1" applyFont="1" applyFill="1" applyBorder="1" applyAlignment="1">
      <alignment horizontal="left" vertical="center" wrapText="1"/>
    </xf>
  </cellXfs>
  <cellStyles>
    <cellStyle name="常规" xfId="0" builtinId="0"/>
    <cellStyle name="超链接" xfId="1" builtinId="8"/>
  </cellStyles>
  <dxfs count="3">
    <dxf>
      <font>
        <b val="0"/>
        <i val="0"/>
        <strike val="0"/>
      </font>
      <fill>
        <patternFill>
          <fgColor rgb="FFFFC9C7"/>
          <bgColor rgb="FFFFC9C7"/>
        </patternFill>
      </fill>
    </dxf>
    <dxf>
      <font>
        <b val="0"/>
        <i val="0"/>
        <strike val="0"/>
      </font>
      <fill>
        <patternFill>
          <fgColor rgb="FFC3EAD5"/>
          <bgColor rgb="FFC3EAD5"/>
        </patternFill>
      </fill>
    </dxf>
    <dxf>
      <font>
        <color rgb="FFBE0E1E"/>
      </font>
    </dxf>
  </d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WPS" mc:Ignorable="thm15">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xm="http://schemas.microsoft.com/office/excel/2006/main" xmlns="http://schemas.openxmlformats.org/spreadsheetml/2006/main" xmlns:x14="http://schemas.microsoft.com/office/spreadsheetml/2009/9/main">
  <sheetPr>
    <outlinePr summaryBelow="0" summaryRight="0"/>
  </sheetPr>
  <dimension ref="R913"/>
  <sheetViews>
    <sheetView showGridLines="1" tabSelected="0" workbookViewId="0">
      <pane ySplit="1" topLeftCell="A2" state="frozen"/>
    </sheetView>
  </sheetViews>
  <sheetFormatPr baseColWidth="10" defaultColWidth="9" defaultRowHeight="16.5" customHeight="1"/>
  <cols>
    <col min="1" max="1" width="13.4805" style="882" customWidth="1"/>
    <col min="2" max="2" width="6.17969" style="882" customWidth="1"/>
    <col min="3" max="3" width="14.6094" style="882" customWidth="1"/>
    <col min="4" max="4" width="8.42969" style="883" customWidth="1"/>
    <col min="5" max="5" width="8.42969" style="883" customWidth="1"/>
    <col min="6" max="6" width="8.98828" style="884" customWidth="1"/>
    <col min="7" max="7" width="8.42969" style="885" customWidth="1"/>
    <col min="8" max="8" width="8.42969" style="886" customWidth="1"/>
    <col min="9" max="11" width="8.98828" style="886" customWidth="1"/>
    <col min="12" max="12" width="6.17969" style="882" customWidth="1"/>
    <col min="13" max="13" width="8.98828" style="887" customWidth="1"/>
    <col min="14" max="14" width="6.17969" style="888" customWidth="1"/>
    <col min="15" max="15" width="6.17969" style="883" customWidth="1"/>
    <col min="16" max="16" width="6.17969" style="889" customWidth="1"/>
    <col min="17" max="17" width="44.9492" style="890" customWidth="1"/>
    <col min="18" max="18" width="16.8516" style="890" customWidth="1"/>
  </cols>
  <sheetData>
    <row r="1" spans="1:18" s="878" customFormat="1">
      <c r="A1" s="4" t="s">
        <v>1</v>
      </c>
      <c r="B1" s="5" t="s">
        <v>2</v>
      </c>
      <c r="C1" s="6" t="s">
        <v>3</v>
      </c>
      <c r="D1" s="7" t="s">
        <v>663</v>
      </c>
      <c r="E1" s="7" t="s">
        <v>664</v>
      </c>
      <c r="F1" s="8" t="s">
        <v>665</v>
      </c>
      <c r="G1" s="9" t="s">
        <v>666</v>
      </c>
      <c r="H1" s="10" t="s">
        <v>4</v>
      </c>
      <c r="I1" s="11" t="s">
        <v>5</v>
      </c>
      <c r="J1" s="12" t="s">
        <v>6</v>
      </c>
      <c r="K1" s="12" t="s">
        <v>7</v>
      </c>
      <c r="L1" s="10" t="s">
        <v>8</v>
      </c>
      <c r="M1" s="12" t="s">
        <v>9</v>
      </c>
      <c r="N1" s="13" t="s">
        <v>10</v>
      </c>
      <c r="O1" s="14" t="s">
        <v>11</v>
      </c>
      <c r="P1" s="16" t="s">
        <v>12</v>
      </c>
      <c r="Q1" s="10" t="s">
        <v>12</v>
      </c>
      <c r="R1" s="17" t="s">
        <v>13</v>
      </c>
    </row>
    <row r="2" spans="1:18" s="879" customFormat="1">
      <c r="A2" s="18" t="s">
        <v>14</v>
      </c>
      <c r="B2" s="19" t="s">
        <v>15</v>
      </c>
      <c r="C2" s="20" t="s">
        <v>16</v>
      </c>
      <c r="D2" s="21" t="s">
        <v>17</v>
      </c>
      <c r="E2" s="21" t="s">
        <v>18</v>
      </c>
      <c r="F2" s="22">
        <v>45378</v>
      </c>
      <c r="G2" s="23" t="s">
        <v>19</v>
      </c>
      <c r="H2" s="21" t="s">
        <v>20</v>
      </c>
      <c r="I2" s="24">
        <f>=F2</f>
        <v>45378</v>
      </c>
      <c r="J2" s="24">
        <v>45388</v>
      </c>
      <c r="K2" s="25">
        <v>45388</v>
      </c>
      <c r="L2" s="26">
        <f>=J2-I2</f>
        <v>10</v>
      </c>
      <c r="M2" s="24">
        <v>45390</v>
      </c>
      <c r="N2" s="27">
        <f>=M2-I2</f>
        <v>12</v>
      </c>
      <c r="O2" s="28">
        <f>=IF(M2="",TODAY()-J2,M2-J2)</f>
        <v>2</v>
      </c>
      <c r="P2" s="29" t="s">
        <f>=IF(O2&gt;0,"逾期","正常")</f>
        <v>21</v>
      </c>
      <c r="Q2" s="31" t="s"/>
      <c r="R2" s="32" t="s"/>
    </row>
    <row r="3" spans="1:18" s="879" customFormat="1">
      <c r="A3" s="33" t="s"/>
      <c r="B3" s="34" t="s"/>
      <c r="C3" s="35" t="s"/>
      <c r="D3" s="36" t="s">
        <v>22</v>
      </c>
      <c r="E3" s="37" t="s">
        <v>23</v>
      </c>
      <c r="F3" s="38">
        <v>30</v>
      </c>
      <c r="G3" s="39" t="s">
        <v>24</v>
      </c>
      <c r="H3" s="39" t="s">
        <v>25</v>
      </c>
      <c r="I3" s="40">
        <f>=M2</f>
        <v>45390</v>
      </c>
      <c r="J3" s="40">
        <f>=I3+7</f>
        <v>45397</v>
      </c>
      <c r="K3" s="40">
        <f>=J3</f>
        <v>45397</v>
      </c>
      <c r="L3" s="39">
        <v>10</v>
      </c>
      <c r="M3" s="41">
        <v>45533</v>
      </c>
      <c r="N3" s="42">
        <f>=M3-I3</f>
        <v>143</v>
      </c>
      <c r="O3" s="37">
        <f>=IF(M3-J3&gt;0,M3-J3,0)</f>
        <v>136</v>
      </c>
      <c r="P3" s="43" t="s">
        <f>=IF(O3&gt;0,"逾期","正常")</f>
        <v>21</v>
      </c>
      <c r="Q3" s="44" t="s">
        <v>26</v>
      </c>
      <c r="R3" s="45" t="s">
        <v>27</v>
      </c>
    </row>
    <row r="4" spans="1:18" s="879" customFormat="1">
      <c r="A4" s="33" t="s"/>
      <c r="B4" s="34" t="s"/>
      <c r="C4" s="35" t="s"/>
      <c r="D4" s="37" t="s">
        <v>28</v>
      </c>
      <c r="E4" s="37" t="s">
        <v>29</v>
      </c>
      <c r="F4" s="46">
        <f>=F2+F3</f>
        <v>45408</v>
      </c>
      <c r="G4" s="47" t="s">
        <v>30</v>
      </c>
      <c r="H4" s="37" t="s">
        <v>31</v>
      </c>
      <c r="I4" s="36" t="s"/>
      <c r="J4" s="36" t="s"/>
      <c r="K4" s="36" t="s"/>
      <c r="L4" s="48" t="s"/>
      <c r="M4" s="36" t="s"/>
      <c r="N4" s="49" t="s"/>
      <c r="O4" s="28" t="s"/>
      <c r="P4" s="43" t="s">
        <f>=IF(O4&gt;0,"逾期","正常")</f>
        <v>32</v>
      </c>
      <c r="Q4" s="44" t="s"/>
      <c r="R4" s="45" t="s"/>
    </row>
    <row r="5" spans="1:18" s="879" customFormat="1">
      <c r="A5" s="33" t="s"/>
      <c r="B5" s="34" t="s"/>
      <c r="C5" s="35" t="s"/>
      <c r="D5" s="37" t="s">
        <v>33</v>
      </c>
      <c r="E5" s="37" t="s">
        <v>34</v>
      </c>
      <c r="F5" s="51" t="s"/>
      <c r="G5" s="37" t="s">
        <v>35</v>
      </c>
      <c r="H5" s="37" t="s"/>
      <c r="I5" s="36" t="s"/>
      <c r="J5" s="36" t="s"/>
      <c r="K5" s="36" t="s"/>
      <c r="L5" s="37" t="s"/>
      <c r="M5" s="36" t="s"/>
      <c r="N5" s="37" t="s"/>
      <c r="O5" s="28" t="s"/>
      <c r="P5" s="43" t="s">
        <f>=IF(O5&gt;0,"逾期","正常")</f>
        <v>32</v>
      </c>
      <c r="Q5" s="44" t="s"/>
      <c r="R5" s="45" t="s"/>
    </row>
    <row r="6" spans="1:18" s="879" customFormat="1">
      <c r="A6" s="52" t="s"/>
      <c r="B6" s="53" t="s"/>
      <c r="C6" s="54" t="s"/>
      <c r="D6" s="55" t="s">
        <v>36</v>
      </c>
      <c r="E6" s="55" t="s">
        <v>37</v>
      </c>
      <c r="F6" s="56">
        <v>0.375</v>
      </c>
      <c r="G6" s="58" t="s">
        <v>38</v>
      </c>
      <c r="H6" s="59" t="s">
        <f>=D3</f>
        <v>22</v>
      </c>
      <c r="I6" s="60" t="s"/>
      <c r="J6" s="60" t="s"/>
      <c r="K6" s="60" t="s"/>
      <c r="L6" s="55" t="s"/>
      <c r="M6" s="60" t="s"/>
      <c r="N6" s="61" t="s"/>
      <c r="O6" s="55" t="s"/>
      <c r="P6" s="62" t="s">
        <f>=IF(O6&gt;0,"逾期","正常")</f>
        <v>32</v>
      </c>
      <c r="Q6" s="63" t="s"/>
      <c r="R6" s="64" t="s"/>
    </row>
    <row r="7" spans="1:18" s="879" customFormat="1">
      <c r="A7" s="65" t="s">
        <v>39</v>
      </c>
      <c r="B7" s="19" t="s">
        <v>15</v>
      </c>
      <c r="C7" s="20" t="s">
        <v>40</v>
      </c>
      <c r="D7" s="21" t="s">
        <v>17</v>
      </c>
      <c r="E7" s="21" t="s">
        <v>18</v>
      </c>
      <c r="F7" s="22">
        <v>45183</v>
      </c>
      <c r="G7" s="23" t="s">
        <v>19</v>
      </c>
      <c r="H7" s="29" t="s">
        <v>41</v>
      </c>
      <c r="I7" s="66">
        <f>=F7</f>
        <v>45183</v>
      </c>
      <c r="J7" s="66">
        <v>45212</v>
      </c>
      <c r="K7" s="66">
        <f>=J7</f>
        <v>45212</v>
      </c>
      <c r="L7" s="26">
        <f>=J7-I7</f>
        <v>29</v>
      </c>
      <c r="M7" s="25">
        <v>45219</v>
      </c>
      <c r="N7" s="27">
        <f>=M7-I7</f>
        <v>36</v>
      </c>
      <c r="O7" s="21">
        <f>=IF(M7-J7&gt;0,M7-J7,0)</f>
        <v>7</v>
      </c>
      <c r="P7" s="29" t="s">
        <f>=IF(O7&gt;0,"逾期","正常")</f>
        <v>21</v>
      </c>
      <c r="Q7" s="31" t="s"/>
      <c r="R7" s="67" t="s"/>
    </row>
    <row r="8" spans="1:18" s="879" customFormat="1">
      <c r="A8" s="33" t="s"/>
      <c r="B8" s="34" t="s"/>
      <c r="C8" s="35" t="s"/>
      <c r="D8" s="68" t="s">
        <v>42</v>
      </c>
      <c r="E8" s="37" t="s">
        <v>23</v>
      </c>
      <c r="F8" s="69">
        <f>=F9-F7</f>
        <v>45</v>
      </c>
      <c r="G8" s="47" t="s">
        <v>24</v>
      </c>
      <c r="H8" s="43" t="s">
        <v>25</v>
      </c>
      <c r="I8" s="70">
        <f>=M7</f>
        <v>45219</v>
      </c>
      <c r="J8" s="70">
        <f>=F9</f>
        <v>45228</v>
      </c>
      <c r="K8" s="71">
        <f>=J8</f>
        <v>45228</v>
      </c>
      <c r="L8" s="72">
        <f>=J8-I8</f>
        <v>9</v>
      </c>
      <c r="M8" s="36">
        <v>45253</v>
      </c>
      <c r="N8" s="42">
        <f>=M8-I8</f>
        <v>34</v>
      </c>
      <c r="O8" s="37">
        <f>=IF(M8-J8&gt;0,M8-J8,0)</f>
        <v>25</v>
      </c>
      <c r="P8" s="43" t="s">
        <f>=IF(O8&gt;0,"逾期","正常")</f>
        <v>21</v>
      </c>
      <c r="Q8" s="73" t="s">
        <v>43</v>
      </c>
      <c r="R8" s="74" t="s"/>
    </row>
    <row r="9" spans="1:18" s="879" customFormat="1">
      <c r="A9" s="33" t="s"/>
      <c r="B9" s="34" t="s"/>
      <c r="C9" s="35" t="s"/>
      <c r="D9" s="37" t="s">
        <v>28</v>
      </c>
      <c r="E9" s="37" t="s">
        <v>29</v>
      </c>
      <c r="F9" s="75">
        <v>45228</v>
      </c>
      <c r="G9" s="39" t="s">
        <v>30</v>
      </c>
      <c r="H9" s="39" t="s">
        <v>31</v>
      </c>
      <c r="I9" s="40">
        <f>=M8</f>
        <v>45253</v>
      </c>
      <c r="J9" s="40">
        <f>=I9+7</f>
        <v>45260</v>
      </c>
      <c r="K9" s="40">
        <f>=J9</f>
        <v>45260</v>
      </c>
      <c r="L9" s="76">
        <f>=J9-I9</f>
        <v>7</v>
      </c>
      <c r="M9" s="40" t="s"/>
      <c r="N9" s="49" t="s"/>
      <c r="O9" s="28">
        <f>=IF(M9="",TODAY()-J9,M9-J9)</f>
        <v>890</v>
      </c>
      <c r="P9" s="43" t="s">
        <f>=IF(O9&gt;0,"逾期","正常")</f>
        <v>21</v>
      </c>
      <c r="Q9" s="44" t="s">
        <v>44</v>
      </c>
      <c r="R9" s="74" t="s">
        <v>45</v>
      </c>
    </row>
    <row r="10" spans="1:18" s="879" customFormat="1">
      <c r="A10" s="33" t="s"/>
      <c r="B10" s="34" t="s"/>
      <c r="C10" s="35" t="s"/>
      <c r="D10" s="43" t="s">
        <v>46</v>
      </c>
      <c r="E10" s="37" t="s">
        <v>34</v>
      </c>
      <c r="F10" s="51">
        <f>=M8-F7</f>
        <v>70</v>
      </c>
      <c r="G10" s="37" t="s">
        <v>35</v>
      </c>
      <c r="H10" s="43" t="s"/>
      <c r="I10" s="70" t="s"/>
      <c r="J10" s="70" t="s"/>
      <c r="K10" s="70" t="s"/>
      <c r="L10" s="48" t="s"/>
      <c r="M10" s="68" t="s"/>
      <c r="N10" s="37" t="s"/>
      <c r="O10" s="28" t="s"/>
      <c r="P10" s="43" t="s">
        <f>=IF(O10&gt;0,"逾期","正常")</f>
        <v>32</v>
      </c>
      <c r="Q10" s="77" t="s"/>
      <c r="R10" s="74" t="s"/>
    </row>
    <row r="11" spans="1:18" s="879" customFormat="1">
      <c r="A11" s="52" t="s"/>
      <c r="B11" s="53" t="s"/>
      <c r="C11" s="54" t="s"/>
      <c r="D11" s="55" t="s">
        <v>36</v>
      </c>
      <c r="E11" s="55" t="s">
        <v>37</v>
      </c>
      <c r="F11" s="56">
        <v>0.3</v>
      </c>
      <c r="G11" s="58" t="s">
        <v>38</v>
      </c>
      <c r="H11" s="59" t="s">
        <f>=D8</f>
        <v>42</v>
      </c>
      <c r="I11" s="60" t="s"/>
      <c r="J11" s="60" t="s"/>
      <c r="K11" s="60" t="s"/>
      <c r="L11" s="55">
        <v>90</v>
      </c>
      <c r="M11" s="60" t="s"/>
      <c r="N11" s="61">
        <f>=M11-I11</f>
        <v>0</v>
      </c>
      <c r="O11" s="55">
        <f>=IF(M11-J11&gt;0,M11-J11,0)</f>
        <v>0</v>
      </c>
      <c r="P11" s="62" t="s">
        <f>=IF(O11&gt;0,"逾期","正常")</f>
        <v>32</v>
      </c>
      <c r="Q11" s="44" t="s"/>
      <c r="R11" s="78" t="s"/>
    </row>
    <row r="12" spans="1:18" s="879" customFormat="1">
      <c r="A12" s="65" t="s">
        <v>47</v>
      </c>
      <c r="B12" s="19" t="s">
        <v>15</v>
      </c>
      <c r="C12" s="20" t="s">
        <v>48</v>
      </c>
      <c r="D12" s="21" t="s">
        <v>17</v>
      </c>
      <c r="E12" s="21" t="s">
        <v>18</v>
      </c>
      <c r="F12" s="22">
        <v>45190</v>
      </c>
      <c r="G12" s="23" t="s">
        <v>19</v>
      </c>
      <c r="H12" s="29" t="s">
        <v>49</v>
      </c>
      <c r="I12" s="66">
        <f>=F12</f>
        <v>45190</v>
      </c>
      <c r="J12" s="66">
        <v>45210</v>
      </c>
      <c r="K12" s="66">
        <f>=J12</f>
        <v>45210</v>
      </c>
      <c r="L12" s="26">
        <f>=J12-I12</f>
        <v>20</v>
      </c>
      <c r="M12" s="25">
        <v>45197</v>
      </c>
      <c r="N12" s="27">
        <f>=M12-I12</f>
        <v>7</v>
      </c>
      <c r="O12" s="21">
        <f>=IF(M12-J12&gt;0,M12-J12,0)</f>
        <v>0</v>
      </c>
      <c r="P12" s="29" t="s">
        <f>=IF(O12&gt;0,"逾期","正常")</f>
        <v>32</v>
      </c>
      <c r="Q12" s="31" t="s"/>
      <c r="R12" s="67" t="s"/>
    </row>
    <row r="13" spans="1:18" s="879" customFormat="1">
      <c r="A13" s="33" t="s"/>
      <c r="B13" s="34" t="s"/>
      <c r="C13" s="35" t="s"/>
      <c r="D13" s="68" t="s">
        <v>22</v>
      </c>
      <c r="E13" s="37" t="s">
        <v>23</v>
      </c>
      <c r="F13" s="69">
        <f>=F14-F12</f>
        <v>30</v>
      </c>
      <c r="G13" s="47" t="s">
        <v>24</v>
      </c>
      <c r="H13" s="43" t="s">
        <v>50</v>
      </c>
      <c r="I13" s="70">
        <f>=M12</f>
        <v>45197</v>
      </c>
      <c r="J13" s="70">
        <f>=F14</f>
        <v>45220</v>
      </c>
      <c r="K13" s="71">
        <f>=J13</f>
        <v>45220</v>
      </c>
      <c r="L13" s="72">
        <f>=J13-I13</f>
        <v>23</v>
      </c>
      <c r="M13" s="36">
        <v>45233</v>
      </c>
      <c r="N13" s="42">
        <f>=M13-I13</f>
        <v>36</v>
      </c>
      <c r="O13" s="28">
        <f>=IF(M13="",TODAY()-J13,M13-J13)</f>
        <v>13</v>
      </c>
      <c r="P13" s="43" t="s">
        <f>=IF(O13&gt;0,"逾期","正常")</f>
        <v>21</v>
      </c>
      <c r="Q13" s="73" t="s"/>
      <c r="R13" s="74" t="s"/>
    </row>
    <row r="14" spans="1:18" s="879" customFormat="1">
      <c r="A14" s="33" t="s"/>
      <c r="B14" s="34" t="s"/>
      <c r="C14" s="35" t="s"/>
      <c r="D14" s="37" t="s">
        <v>28</v>
      </c>
      <c r="E14" s="37" t="s">
        <v>29</v>
      </c>
      <c r="F14" s="75">
        <v>45220</v>
      </c>
      <c r="G14" s="37" t="s">
        <v>30</v>
      </c>
      <c r="H14" s="37" t="s">
        <v>31</v>
      </c>
      <c r="I14" s="70">
        <f>=M13</f>
        <v>45233</v>
      </c>
      <c r="J14" s="70">
        <f>=I14+7</f>
        <v>45240</v>
      </c>
      <c r="K14" s="70">
        <f>=J14</f>
        <v>45240</v>
      </c>
      <c r="L14" s="72">
        <f>=J14-I14</f>
        <v>7</v>
      </c>
      <c r="M14" s="70">
        <v>45240</v>
      </c>
      <c r="N14" s="79">
        <f>=M14-I14</f>
        <v>7</v>
      </c>
      <c r="O14" s="28">
        <f>=IF(M14="",TODAY()-J14,M14-J14)</f>
        <v>0</v>
      </c>
      <c r="P14" s="43" t="s">
        <f>=IF(O14&gt;0,"逾期","正常")</f>
        <v>32</v>
      </c>
      <c r="Q14" s="44" t="s"/>
      <c r="R14" s="74" t="s"/>
    </row>
    <row r="15" spans="1:18" s="879" customFormat="1">
      <c r="A15" s="33" t="s"/>
      <c r="B15" s="34" t="s"/>
      <c r="C15" s="35" t="s"/>
      <c r="D15" s="43" t="s">
        <v>51</v>
      </c>
      <c r="E15" s="37" t="s">
        <v>34</v>
      </c>
      <c r="F15" s="51">
        <f>=M13-F12</f>
        <v>43</v>
      </c>
      <c r="G15" s="37" t="s">
        <v>35</v>
      </c>
      <c r="H15" s="43" t="s">
        <v>52</v>
      </c>
      <c r="I15" s="70">
        <f>=M14</f>
        <v>45240</v>
      </c>
      <c r="J15" s="70">
        <f>=I15+30</f>
        <v>45270</v>
      </c>
      <c r="K15" s="70">
        <f>=J15</f>
        <v>45270</v>
      </c>
      <c r="L15" s="48">
        <f>=J15-I15</f>
        <v>30</v>
      </c>
      <c r="M15" s="68">
        <v>45270</v>
      </c>
      <c r="N15" s="79">
        <f>=M15-I15</f>
        <v>30</v>
      </c>
      <c r="O15" s="28">
        <f>=IF(M15="",TODAY()-J15,M15-J15)</f>
        <v>0</v>
      </c>
      <c r="P15" s="43" t="s">
        <f>=IF(O15&gt;0,"逾期","正常")</f>
        <v>32</v>
      </c>
      <c r="Q15" s="80" t="s">
        <v>53</v>
      </c>
      <c r="R15" s="74" t="s"/>
    </row>
    <row r="16" spans="1:18" s="879" customFormat="1">
      <c r="A16" s="52" t="s"/>
      <c r="B16" s="53" t="s"/>
      <c r="C16" s="54" t="s"/>
      <c r="D16" s="55" t="s">
        <v>36</v>
      </c>
      <c r="E16" s="55" t="s">
        <v>37</v>
      </c>
      <c r="F16" s="56">
        <v>0.9</v>
      </c>
      <c r="G16" s="81" t="s">
        <v>38</v>
      </c>
      <c r="H16" s="82" t="s">
        <f>=D13</f>
        <v>22</v>
      </c>
      <c r="I16" s="83">
        <f>=M15</f>
        <v>45270</v>
      </c>
      <c r="J16" s="83">
        <f>=I16+L16</f>
        <v>45360</v>
      </c>
      <c r="K16" s="83">
        <f>=J16</f>
        <v>45360</v>
      </c>
      <c r="L16" s="81">
        <v>90</v>
      </c>
      <c r="M16" s="83" t="s"/>
      <c r="N16" s="79" t="s"/>
      <c r="O16" s="28">
        <f>=IF(M16="",TODAY()-J16,M16-J16)</f>
        <v>790</v>
      </c>
      <c r="P16" s="62" t="s">
        <f>=IF(O16&gt;0,"逾期","正常")</f>
        <v>21</v>
      </c>
      <c r="Q16" s="44" t="s">
        <v>54</v>
      </c>
      <c r="R16" s="74" t="s">
        <v>55</v>
      </c>
    </row>
    <row r="17" spans="1:18" s="879" customFormat="1">
      <c r="A17" s="65" t="s">
        <v>56</v>
      </c>
      <c r="B17" s="19" t="s">
        <v>15</v>
      </c>
      <c r="C17" s="20" t="s">
        <v>48</v>
      </c>
      <c r="D17" s="21" t="s">
        <v>17</v>
      </c>
      <c r="E17" s="21" t="s">
        <v>18</v>
      </c>
      <c r="F17" s="22">
        <v>45285</v>
      </c>
      <c r="G17" s="23" t="s">
        <v>19</v>
      </c>
      <c r="H17" s="29" t="s">
        <v>20</v>
      </c>
      <c r="I17" s="66">
        <f>=F17</f>
        <v>45285</v>
      </c>
      <c r="J17" s="66">
        <v>45305</v>
      </c>
      <c r="K17" s="66">
        <f>=J17</f>
        <v>45305</v>
      </c>
      <c r="L17" s="26">
        <f>=J17-I17</f>
        <v>20</v>
      </c>
      <c r="M17" s="25">
        <v>45296</v>
      </c>
      <c r="N17" s="27">
        <f>=M17-I17</f>
        <v>11</v>
      </c>
      <c r="O17" s="84">
        <f>=IF(M17="",TODAY()-J17,M17-J17)</f>
        <v>-9</v>
      </c>
      <c r="P17" s="29" t="s">
        <f>=IF(O17&gt;0,"逾期","正常")</f>
        <v>32</v>
      </c>
      <c r="Q17" s="31" t="s"/>
      <c r="R17" s="67" t="s"/>
    </row>
    <row r="18" spans="1:18" s="879" customFormat="1">
      <c r="A18" s="33" t="s"/>
      <c r="B18" s="34" t="s"/>
      <c r="C18" s="35" t="s"/>
      <c r="D18" s="68" t="s">
        <v>57</v>
      </c>
      <c r="E18" s="37" t="s">
        <v>23</v>
      </c>
      <c r="F18" s="69">
        <f>=F19-F17</f>
        <v>30</v>
      </c>
      <c r="G18" s="47" t="s">
        <v>24</v>
      </c>
      <c r="H18" s="43" t="s">
        <v>50</v>
      </c>
      <c r="I18" s="70">
        <f>=M17</f>
        <v>45296</v>
      </c>
      <c r="J18" s="70">
        <f>=F19</f>
        <v>45315</v>
      </c>
      <c r="K18" s="71">
        <f>=J18</f>
        <v>45315</v>
      </c>
      <c r="L18" s="72">
        <f>=J18-I18</f>
        <v>19</v>
      </c>
      <c r="M18" s="36">
        <v>45315</v>
      </c>
      <c r="N18" s="42">
        <f>=M18-I18</f>
        <v>19</v>
      </c>
      <c r="O18" s="28">
        <f>=IF(M18="",TODAY()-J18,M18-J18)</f>
        <v>0</v>
      </c>
      <c r="P18" s="43" t="s">
        <f>=IF(O18&gt;0,"逾期","正常")</f>
        <v>32</v>
      </c>
      <c r="Q18" s="44" t="s"/>
      <c r="R18" s="74" t="s"/>
    </row>
    <row r="19" spans="1:18" s="879" customFormat="1">
      <c r="A19" s="33" t="s"/>
      <c r="B19" s="34" t="s"/>
      <c r="C19" s="35" t="s"/>
      <c r="D19" s="37" t="s">
        <v>28</v>
      </c>
      <c r="E19" s="37" t="s">
        <v>29</v>
      </c>
      <c r="F19" s="75">
        <v>45315</v>
      </c>
      <c r="G19" s="47" t="s">
        <v>30</v>
      </c>
      <c r="H19" s="37" t="s">
        <v>31</v>
      </c>
      <c r="I19" s="70">
        <f>=M18</f>
        <v>45315</v>
      </c>
      <c r="J19" s="70">
        <f>=I19+7</f>
        <v>45322</v>
      </c>
      <c r="K19" s="70">
        <f>=J19</f>
        <v>45322</v>
      </c>
      <c r="L19" s="72">
        <f>=J19-I19</f>
        <v>7</v>
      </c>
      <c r="M19" s="70">
        <v>45315</v>
      </c>
      <c r="N19" s="42">
        <f>=M19-I19</f>
        <v>0</v>
      </c>
      <c r="O19" s="28">
        <f>=IF(M19="",TODAY()-J19,M19-J19)</f>
        <v>-7</v>
      </c>
      <c r="P19" s="43" t="s">
        <f>=IF(O19&gt;0,"逾期","正常")</f>
        <v>32</v>
      </c>
      <c r="Q19" s="44" t="s"/>
      <c r="R19" s="74" t="s"/>
    </row>
    <row r="20" spans="1:18" s="879" customFormat="1">
      <c r="A20" s="33" t="s"/>
      <c r="B20" s="34" t="s"/>
      <c r="C20" s="35" t="s"/>
      <c r="D20" s="43" t="s">
        <v>51</v>
      </c>
      <c r="E20" s="37" t="s">
        <v>34</v>
      </c>
      <c r="F20" s="51">
        <f>=M18-F17</f>
        <v>30</v>
      </c>
      <c r="G20" s="39" t="s">
        <v>35</v>
      </c>
      <c r="H20" s="85" t="s">
        <v>58</v>
      </c>
      <c r="I20" s="40">
        <f>=M19</f>
        <v>45315</v>
      </c>
      <c r="J20" s="40">
        <f>=I20+30</f>
        <v>45345</v>
      </c>
      <c r="K20" s="40">
        <f>=J20</f>
        <v>45345</v>
      </c>
      <c r="L20" s="86">
        <f>=J20-I20</f>
        <v>30</v>
      </c>
      <c r="M20" s="87" t="s"/>
      <c r="N20" s="37" t="s"/>
      <c r="O20" s="28">
        <f>=IF(M20="",TODAY()-J20,M20-J20)</f>
        <v>805</v>
      </c>
      <c r="P20" s="43" t="s">
        <f>=IF(O20&gt;0,"逾期","正常")</f>
        <v>21</v>
      </c>
      <c r="Q20" s="44" t="s">
        <v>59</v>
      </c>
      <c r="R20" s="74" t="s">
        <v>60</v>
      </c>
    </row>
    <row r="21" spans="1:18" s="879" customFormat="1">
      <c r="A21" s="52" t="s"/>
      <c r="B21" s="53" t="s"/>
      <c r="C21" s="54" t="s"/>
      <c r="D21" s="55" t="s">
        <v>36</v>
      </c>
      <c r="E21" s="55" t="s">
        <v>37</v>
      </c>
      <c r="F21" s="56">
        <v>0.9338</v>
      </c>
      <c r="G21" s="58" t="s">
        <v>38</v>
      </c>
      <c r="H21" s="88" t="s">
        <v>57</v>
      </c>
      <c r="I21" s="60" t="s"/>
      <c r="J21" s="60" t="s"/>
      <c r="K21" s="60" t="s"/>
      <c r="L21" s="55">
        <v>90</v>
      </c>
      <c r="M21" s="60" t="s"/>
      <c r="N21" s="61">
        <f>=M21-I21</f>
        <v>0</v>
      </c>
      <c r="O21" s="55">
        <f>=IF(M21-J21&gt;0,M21-J21,0)</f>
        <v>0</v>
      </c>
      <c r="P21" s="62" t="s">
        <f>=IF(O21&gt;0,"逾期","正常")</f>
        <v>32</v>
      </c>
      <c r="Q21" s="63" t="s"/>
      <c r="R21" s="78" t="s"/>
    </row>
    <row r="22" spans="1:18" s="879" customFormat="1">
      <c r="A22" s="89" t="s">
        <v>61</v>
      </c>
      <c r="B22" s="90" t="s">
        <v>32</v>
      </c>
      <c r="C22" s="91" t="s">
        <v>62</v>
      </c>
      <c r="D22" s="84" t="s">
        <v>17</v>
      </c>
      <c r="E22" s="84" t="s">
        <v>18</v>
      </c>
      <c r="F22" s="92">
        <v>45288</v>
      </c>
      <c r="G22" s="93" t="s">
        <v>19</v>
      </c>
      <c r="H22" s="26" t="s">
        <v>63</v>
      </c>
      <c r="I22" s="66">
        <f>=F22</f>
        <v>45288</v>
      </c>
      <c r="J22" s="66">
        <v>45288</v>
      </c>
      <c r="K22" s="66">
        <v>45288</v>
      </c>
      <c r="L22" s="26">
        <f>=J22-I22</f>
        <v>0</v>
      </c>
      <c r="M22" s="94">
        <v>45298</v>
      </c>
      <c r="N22" s="95">
        <f>=M22-I22</f>
        <v>10</v>
      </c>
      <c r="O22" s="84">
        <f>=IF(M22="",TODAY()-J22,M22-J22)</f>
        <v>10</v>
      </c>
      <c r="P22" s="29" t="s">
        <f>=IF(O22&gt;0,"逾期","正常")</f>
        <v>21</v>
      </c>
      <c r="Q22" s="96" t="s">
        <v>64</v>
      </c>
      <c r="R22" s="97" t="s"/>
    </row>
    <row r="23" spans="1:18" s="879" customFormat="1">
      <c r="A23" s="98" t="s"/>
      <c r="B23" s="99" t="s"/>
      <c r="C23" s="100" t="s"/>
      <c r="D23" s="70" t="s">
        <v>65</v>
      </c>
      <c r="E23" s="28" t="s">
        <v>23</v>
      </c>
      <c r="F23" s="69">
        <f>=F24-F22</f>
        <v>25</v>
      </c>
      <c r="G23" s="101" t="s">
        <v>24</v>
      </c>
      <c r="H23" s="71" t="s">
        <v>50</v>
      </c>
      <c r="I23" s="70">
        <f>=M22</f>
        <v>45298</v>
      </c>
      <c r="J23" s="70">
        <f>=F24</f>
        <v>45313</v>
      </c>
      <c r="K23" s="71">
        <f>=J23</f>
        <v>45313</v>
      </c>
      <c r="L23" s="102">
        <f>=J23-I23</f>
        <v>15</v>
      </c>
      <c r="M23" s="70">
        <v>45319</v>
      </c>
      <c r="N23" s="95">
        <f>=M23-I23</f>
        <v>21</v>
      </c>
      <c r="O23" s="28">
        <f>=IF(M23="",TODAY()-J23,M23-J23)</f>
        <v>6</v>
      </c>
      <c r="P23" s="43" t="s">
        <f>=IF(O23&gt;0,"逾期","正常")</f>
        <v>21</v>
      </c>
      <c r="Q23" s="73" t="s">
        <v>66</v>
      </c>
      <c r="R23" s="103" t="s"/>
    </row>
    <row r="24" spans="1:18" s="879" customFormat="1">
      <c r="A24" s="98" t="s"/>
      <c r="B24" s="99" t="s"/>
      <c r="C24" s="100" t="s"/>
      <c r="D24" s="28" t="s">
        <v>28</v>
      </c>
      <c r="E24" s="28" t="s">
        <v>29</v>
      </c>
      <c r="F24" s="46">
        <v>45313</v>
      </c>
      <c r="G24" s="101" t="s">
        <v>30</v>
      </c>
      <c r="H24" s="71" t="s">
        <v>31</v>
      </c>
      <c r="I24" s="70">
        <f>=M23</f>
        <v>45319</v>
      </c>
      <c r="J24" s="70">
        <f>=I24+7</f>
        <v>45326</v>
      </c>
      <c r="K24" s="70">
        <f>=J24</f>
        <v>45326</v>
      </c>
      <c r="L24" s="102">
        <f>=J24-I24</f>
        <v>7</v>
      </c>
      <c r="M24" s="70">
        <v>45326</v>
      </c>
      <c r="N24" s="95">
        <f>=M24-I24</f>
        <v>7</v>
      </c>
      <c r="O24" s="28">
        <f>=IF(M24="",TODAY()-J24,M24-J24)</f>
        <v>0</v>
      </c>
      <c r="P24" s="43" t="s">
        <f>=IF(O24&gt;0,"逾期","正常")</f>
        <v>32</v>
      </c>
      <c r="Q24" s="73" t="s"/>
      <c r="R24" s="103" t="s"/>
    </row>
    <row r="25" spans="1:18" s="879" customFormat="1">
      <c r="A25" s="98" t="s"/>
      <c r="B25" s="99" t="s"/>
      <c r="C25" s="100" t="s"/>
      <c r="D25" s="71" t="s">
        <v>51</v>
      </c>
      <c r="E25" s="28" t="s">
        <v>34</v>
      </c>
      <c r="F25" s="51">
        <f>=M23-F22</f>
        <v>31</v>
      </c>
      <c r="G25" s="51" t="s">
        <v>35</v>
      </c>
      <c r="H25" s="51" t="s">
        <v>67</v>
      </c>
      <c r="I25" s="46">
        <f>=M24</f>
        <v>45326</v>
      </c>
      <c r="J25" s="46">
        <f>=I25+30</f>
        <v>45356</v>
      </c>
      <c r="K25" s="46">
        <f>=J25</f>
        <v>45356</v>
      </c>
      <c r="L25" s="104">
        <f>=J25-I25</f>
        <v>30</v>
      </c>
      <c r="M25" s="70">
        <v>45859</v>
      </c>
      <c r="N25" s="95">
        <f>=M25-I25</f>
        <v>533</v>
      </c>
      <c r="O25" s="28">
        <f>=IF(M25="",TODAY()-J25,M25-J25)</f>
        <v>503</v>
      </c>
      <c r="P25" s="43" t="s">
        <f>=IF(O25&gt;0,"逾期","正常")</f>
        <v>21</v>
      </c>
      <c r="Q25" s="105" t="s">
        <v>68</v>
      </c>
      <c r="R25" s="106" t="s">
        <v>69</v>
      </c>
    </row>
    <row r="26" spans="1:18" s="879" customFormat="1">
      <c r="A26" s="98" t="s"/>
      <c r="B26" s="107" t="s"/>
      <c r="C26" s="108" t="s"/>
      <c r="D26" s="109" t="s">
        <v>36</v>
      </c>
      <c r="E26" s="59" t="s">
        <v>37</v>
      </c>
      <c r="F26" s="110">
        <v>0.6</v>
      </c>
      <c r="G26" s="85" t="s">
        <v>38</v>
      </c>
      <c r="H26" s="82" t="s">
        <f>=D23</f>
        <v>65</v>
      </c>
      <c r="I26" s="111">
        <f>=M25</f>
        <v>45859</v>
      </c>
      <c r="J26" s="112">
        <f>=I26+L26</f>
        <v>45949</v>
      </c>
      <c r="K26" s="112">
        <f>=J26</f>
        <v>45949</v>
      </c>
      <c r="L26" s="113">
        <v>90</v>
      </c>
      <c r="M26" s="114" t="s"/>
      <c r="N26" s="115" t="s"/>
      <c r="O26" s="28">
        <f>=IF(M26="",TODAY()-J26,M26-J26)</f>
        <v>201</v>
      </c>
      <c r="P26" s="62" t="s">
        <f>=IF(O26&gt;0,"逾期","正常")</f>
        <v>21</v>
      </c>
      <c r="Q26" s="116" t="s"/>
      <c r="R26" s="117" t="s"/>
    </row>
    <row r="27" spans="1:18" s="879" customFormat="1">
      <c r="A27" s="89" t="s">
        <v>70</v>
      </c>
      <c r="B27" s="90" t="s">
        <v>15</v>
      </c>
      <c r="C27" s="91" t="s">
        <v>71</v>
      </c>
      <c r="D27" s="118" t="s">
        <v>17</v>
      </c>
      <c r="E27" s="118" t="s">
        <v>18</v>
      </c>
      <c r="F27" s="119">
        <v>45343</v>
      </c>
      <c r="G27" s="91" t="s">
        <v>19</v>
      </c>
      <c r="H27" s="91" t="s">
        <v>41</v>
      </c>
      <c r="I27" s="120">
        <f>=F27</f>
        <v>45343</v>
      </c>
      <c r="J27" s="120">
        <v>45368</v>
      </c>
      <c r="K27" s="120">
        <v>45368</v>
      </c>
      <c r="L27" s="91">
        <f>=J27-I27</f>
        <v>25</v>
      </c>
      <c r="M27" s="121">
        <v>45364</v>
      </c>
      <c r="N27" s="122">
        <f>=M27-I27</f>
        <v>21</v>
      </c>
      <c r="O27" s="118">
        <f>=IF(M27="",TODAY()-J27,M27-J27)</f>
        <v>-4</v>
      </c>
      <c r="P27" s="123" t="s">
        <f>=IF(O27&gt;0,"逾期","正常")</f>
        <v>32</v>
      </c>
      <c r="Q27" s="124" t="s"/>
      <c r="R27" s="125" t="s"/>
    </row>
    <row r="28" spans="1:18" s="879" customFormat="1">
      <c r="A28" s="98" t="s"/>
      <c r="B28" s="99" t="s"/>
      <c r="C28" s="100" t="s"/>
      <c r="D28" s="126" t="s">
        <v>72</v>
      </c>
      <c r="E28" s="127" t="s">
        <v>23</v>
      </c>
      <c r="F28" s="128">
        <f>=F29-F27</f>
        <v>60</v>
      </c>
      <c r="G28" s="129" t="s">
        <v>24</v>
      </c>
      <c r="H28" s="129" t="s">
        <v>25</v>
      </c>
      <c r="I28" s="126">
        <f>=M27</f>
        <v>45364</v>
      </c>
      <c r="J28" s="126">
        <f>=F29</f>
        <v>45403</v>
      </c>
      <c r="K28" s="129">
        <f>=J28</f>
        <v>45403</v>
      </c>
      <c r="L28" s="130">
        <f>=J28-I28</f>
        <v>39</v>
      </c>
      <c r="M28" s="126">
        <v>45418</v>
      </c>
      <c r="N28" s="122">
        <f>=M28-I28</f>
        <v>54</v>
      </c>
      <c r="O28" s="127">
        <f>=IF(M28="",TODAY()-J28,M28-J28)</f>
        <v>15</v>
      </c>
      <c r="P28" s="131" t="s">
        <f>=IF(O28&gt;0,"逾期","正常")</f>
        <v>21</v>
      </c>
      <c r="Q28" s="132" t="s">
        <v>43</v>
      </c>
      <c r="R28" s="133" t="s"/>
    </row>
    <row r="29" spans="1:18" s="879" customFormat="1">
      <c r="A29" s="98" t="s"/>
      <c r="B29" s="99" t="s"/>
      <c r="C29" s="100" t="s"/>
      <c r="D29" s="127" t="s">
        <v>28</v>
      </c>
      <c r="E29" s="127" t="s">
        <v>29</v>
      </c>
      <c r="F29" s="134">
        <v>45403</v>
      </c>
      <c r="G29" s="129" t="s">
        <v>30</v>
      </c>
      <c r="H29" s="129" t="s">
        <v>31</v>
      </c>
      <c r="I29" s="126">
        <f>=M28</f>
        <v>45418</v>
      </c>
      <c r="J29" s="126">
        <f>=I29+7</f>
        <v>45425</v>
      </c>
      <c r="K29" s="126">
        <f>=J29</f>
        <v>45425</v>
      </c>
      <c r="L29" s="130">
        <f>=J29-I29</f>
        <v>7</v>
      </c>
      <c r="M29" s="126">
        <v>45425</v>
      </c>
      <c r="N29" s="122">
        <f>=M29-I29</f>
        <v>7</v>
      </c>
      <c r="O29" s="127">
        <f>=IF(M29="",TODAY()-J29,M29-J29)</f>
        <v>0</v>
      </c>
      <c r="P29" s="131" t="s">
        <f>=IF(O29&gt;0,"逾期","正常")</f>
        <v>32</v>
      </c>
      <c r="Q29" s="135" t="s"/>
      <c r="R29" s="133" t="s"/>
    </row>
    <row r="30" spans="1:17" s="879" customFormat="1">
      <c r="A30" s="98" t="s"/>
      <c r="B30" s="99" t="s"/>
      <c r="C30" s="100" t="s"/>
      <c r="D30" s="129" t="s">
        <v>51</v>
      </c>
      <c r="E30" s="127" t="s">
        <v>34</v>
      </c>
      <c r="F30" s="136">
        <f>=M28-F27</f>
        <v>75</v>
      </c>
      <c r="G30" s="129" t="s">
        <v>35</v>
      </c>
      <c r="H30" s="129" t="s">
        <v>73</v>
      </c>
      <c r="I30" s="126">
        <f>=M29</f>
        <v>45425</v>
      </c>
      <c r="J30" s="126">
        <f>=I30+30</f>
        <v>45455</v>
      </c>
      <c r="K30" s="126">
        <f>=J30</f>
        <v>45455</v>
      </c>
      <c r="L30" s="130">
        <f>=J30-I30</f>
        <v>30</v>
      </c>
      <c r="M30" s="126">
        <v>45454</v>
      </c>
      <c r="N30" s="122">
        <f>=M30-I30</f>
        <v>29</v>
      </c>
      <c r="O30" s="127">
        <f>=IF(M30="",TODAY()-J30,M30-J30)</f>
        <v>-1</v>
      </c>
      <c r="P30" s="131" t="s">
        <f>=IF(O30&gt;0,"逾期","正常")</f>
        <v>32</v>
      </c>
      <c r="Q30" s="137" t="s"/>
    </row>
    <row r="31" spans="1:18" s="879" customFormat="1">
      <c r="A31" s="98" t="s"/>
      <c r="B31" s="107" t="s"/>
      <c r="C31" s="108" t="s"/>
      <c r="D31" s="138" t="s">
        <v>36</v>
      </c>
      <c r="E31" s="139" t="s">
        <v>37</v>
      </c>
      <c r="F31" s="140">
        <v>0.6</v>
      </c>
      <c r="G31" s="141" t="s">
        <v>38</v>
      </c>
      <c r="H31" s="142" t="s">
        <f>=D28</f>
        <v>72</v>
      </c>
      <c r="I31" s="143">
        <f>=M30</f>
        <v>45454</v>
      </c>
      <c r="J31" s="144">
        <f>=I31+L31</f>
        <v>45544</v>
      </c>
      <c r="K31" s="144">
        <f>=J31</f>
        <v>45544</v>
      </c>
      <c r="L31" s="145">
        <v>90</v>
      </c>
      <c r="M31" s="146" t="s"/>
      <c r="N31" s="147" t="s"/>
      <c r="O31" s="127">
        <f>=IF(M31="",TODAY()-J31,M31-J31)</f>
        <v>606</v>
      </c>
      <c r="P31" s="148" t="s">
        <f>=IF(O31&gt;0,"逾期","正常")</f>
        <v>21</v>
      </c>
      <c r="Q31" s="149" t="s">
        <v>74</v>
      </c>
      <c r="R31" s="150" t="s"/>
    </row>
    <row r="32" spans="1:18" s="879" customFormat="1">
      <c r="A32" s="89" t="s">
        <v>75</v>
      </c>
      <c r="B32" s="90" t="s">
        <v>32</v>
      </c>
      <c r="C32" s="91" t="s">
        <v>76</v>
      </c>
      <c r="D32" s="118" t="s">
        <v>17</v>
      </c>
      <c r="E32" s="118" t="s">
        <v>18</v>
      </c>
      <c r="F32" s="119">
        <v>45380</v>
      </c>
      <c r="G32" s="91" t="s">
        <v>19</v>
      </c>
      <c r="H32" s="91" t="s">
        <v>77</v>
      </c>
      <c r="I32" s="120">
        <f>=F32</f>
        <v>45380</v>
      </c>
      <c r="J32" s="120">
        <v>45405</v>
      </c>
      <c r="K32" s="120">
        <v>45405</v>
      </c>
      <c r="L32" s="91">
        <f>=J32-I32</f>
        <v>25</v>
      </c>
      <c r="M32" s="121">
        <v>45422</v>
      </c>
      <c r="N32" s="122">
        <f>=M32-I32</f>
        <v>42</v>
      </c>
      <c r="O32" s="118">
        <f>=IF(M32="",TODAY()-J32,M32-J32)</f>
        <v>17</v>
      </c>
      <c r="P32" s="123" t="s">
        <f>=IF(O32&gt;0,"逾期","正常")</f>
        <v>21</v>
      </c>
      <c r="Q32" s="124" t="s">
        <v>78</v>
      </c>
      <c r="R32" s="125" t="s"/>
    </row>
    <row r="33" spans="1:18" s="879" customFormat="1">
      <c r="A33" s="98" t="s"/>
      <c r="B33" s="99" t="s"/>
      <c r="C33" s="100" t="s"/>
      <c r="D33" s="126" t="s">
        <v>57</v>
      </c>
      <c r="E33" s="127" t="s">
        <v>23</v>
      </c>
      <c r="F33" s="128">
        <f>=F34-F32</f>
        <v>50</v>
      </c>
      <c r="G33" s="129" t="s">
        <v>24</v>
      </c>
      <c r="H33" s="129" t="s">
        <v>50</v>
      </c>
      <c r="I33" s="126">
        <f>=M32</f>
        <v>45422</v>
      </c>
      <c r="J33" s="126">
        <f>=F34</f>
        <v>45430</v>
      </c>
      <c r="K33" s="129">
        <f>=J33</f>
        <v>45430</v>
      </c>
      <c r="L33" s="130">
        <f>=J33-I33</f>
        <v>8</v>
      </c>
      <c r="M33" s="126">
        <v>45626</v>
      </c>
      <c r="N33" s="122">
        <f>=M33-I33</f>
        <v>204</v>
      </c>
      <c r="O33" s="127">
        <f>=IF(M33="",TODAY()-J33,M33-J33)</f>
        <v>196</v>
      </c>
      <c r="P33" s="131" t="s">
        <f>=IF(O33&gt;0,"逾期","正常")</f>
        <v>21</v>
      </c>
      <c r="Q33" s="135" t="s">
        <v>79</v>
      </c>
      <c r="R33" s="133" t="s"/>
    </row>
    <row r="34" spans="1:18" s="879" customFormat="1">
      <c r="A34" s="98" t="s"/>
      <c r="B34" s="99" t="s"/>
      <c r="C34" s="100" t="s"/>
      <c r="D34" s="127" t="s">
        <v>28</v>
      </c>
      <c r="E34" s="127" t="s">
        <v>29</v>
      </c>
      <c r="F34" s="134">
        <v>45430</v>
      </c>
      <c r="G34" s="129" t="s">
        <v>30</v>
      </c>
      <c r="H34" s="129" t="s">
        <v>31</v>
      </c>
      <c r="I34" s="126">
        <f>=M33</f>
        <v>45626</v>
      </c>
      <c r="J34" s="126">
        <f>=I34+7</f>
        <v>45633</v>
      </c>
      <c r="K34" s="126">
        <f>=J34</f>
        <v>45633</v>
      </c>
      <c r="L34" s="130">
        <f>=J34-I34</f>
        <v>7</v>
      </c>
      <c r="M34" s="126">
        <f>=K34</f>
        <v>45633</v>
      </c>
      <c r="N34" s="122">
        <f>=M34-I34</f>
        <v>7</v>
      </c>
      <c r="O34" s="127">
        <f>=IF(M34="",TODAY()-J34,M34-J34)</f>
        <v>0</v>
      </c>
      <c r="P34" s="131" t="s">
        <f>=IF(O34&gt;0,"逾期","正常")</f>
        <v>32</v>
      </c>
      <c r="Q34" s="135" t="s"/>
      <c r="R34" s="133" t="s"/>
    </row>
    <row r="35" spans="1:18" s="879" customFormat="1">
      <c r="A35" s="98" t="s"/>
      <c r="B35" s="99" t="s"/>
      <c r="C35" s="100" t="s"/>
      <c r="D35" s="129" t="s">
        <v>33</v>
      </c>
      <c r="E35" s="127" t="s">
        <v>34</v>
      </c>
      <c r="F35" s="136">
        <f>=M33-F32</f>
        <v>246</v>
      </c>
      <c r="G35" s="136" t="s">
        <v>35</v>
      </c>
      <c r="H35" s="136" t="s">
        <v>80</v>
      </c>
      <c r="I35" s="134">
        <f>=M34</f>
        <v>45633</v>
      </c>
      <c r="J35" s="134">
        <f>=I35+L35</f>
        <v>45673</v>
      </c>
      <c r="K35" s="134">
        <f>=J35</f>
        <v>45673</v>
      </c>
      <c r="L35" s="151">
        <v>40</v>
      </c>
      <c r="M35" s="126">
        <v>45960</v>
      </c>
      <c r="N35" s="122">
        <f>=M35-I35</f>
        <v>327</v>
      </c>
      <c r="O35" s="127">
        <f>=IF(M35="",TODAY()-J35,M35-J35)</f>
        <v>287</v>
      </c>
      <c r="P35" s="131" t="s">
        <f>=IF(O35&gt;0,"逾期","正常")</f>
        <v>21</v>
      </c>
      <c r="Q35" s="137" t="s">
        <v>81</v>
      </c>
      <c r="R35" s="150" t="s"/>
    </row>
    <row r="36" spans="1:18" s="879" customFormat="1">
      <c r="A36" s="98" t="s"/>
      <c r="B36" s="107" t="s"/>
      <c r="C36" s="108" t="s"/>
      <c r="D36" s="138" t="s">
        <v>36</v>
      </c>
      <c r="E36" s="139" t="s">
        <v>37</v>
      </c>
      <c r="F36" s="140">
        <v>0.3</v>
      </c>
      <c r="G36" s="141" t="s">
        <v>38</v>
      </c>
      <c r="H36" s="142" t="s">
        <f>=D33</f>
        <v>57</v>
      </c>
      <c r="I36" s="143">
        <f>=M35</f>
        <v>45960</v>
      </c>
      <c r="J36" s="144">
        <f>=I36+L36</f>
        <v>46050</v>
      </c>
      <c r="K36" s="144">
        <f>=J36</f>
        <v>46050</v>
      </c>
      <c r="L36" s="145">
        <v>90</v>
      </c>
      <c r="M36" s="146" t="s"/>
      <c r="N36" s="147" t="s"/>
      <c r="O36" s="127">
        <f>=IF(M36="",TODAY()-J36,M36-J36)</f>
        <v>100</v>
      </c>
      <c r="P36" s="148" t="s">
        <f>=IF(O36&gt;0,"逾期","正常")</f>
        <v>21</v>
      </c>
      <c r="Q36" s="152" t="s"/>
      <c r="R36" s="153" t="s"/>
    </row>
    <row r="37" spans="1:18" s="879" customFormat="1">
      <c r="A37" s="89" t="s">
        <v>82</v>
      </c>
      <c r="B37" s="90" t="s">
        <v>15</v>
      </c>
      <c r="C37" s="91" t="s">
        <v>83</v>
      </c>
      <c r="D37" s="118" t="s">
        <v>17</v>
      </c>
      <c r="E37" s="118" t="s">
        <v>18</v>
      </c>
      <c r="F37" s="119">
        <v>45442</v>
      </c>
      <c r="G37" s="91" t="s">
        <v>19</v>
      </c>
      <c r="H37" s="91" t="s">
        <v>20</v>
      </c>
      <c r="I37" s="120">
        <f>=F37</f>
        <v>45442</v>
      </c>
      <c r="J37" s="120">
        <v>45457</v>
      </c>
      <c r="K37" s="120">
        <v>45457</v>
      </c>
      <c r="L37" s="91">
        <f>=J37-I37</f>
        <v>15</v>
      </c>
      <c r="M37" s="121">
        <v>45454</v>
      </c>
      <c r="N37" s="122">
        <f>=M37-I37</f>
        <v>12</v>
      </c>
      <c r="O37" s="118">
        <f>=IF(M37="",TODAY()-J37,M37-J37)</f>
        <v>-3</v>
      </c>
      <c r="P37" s="123" t="s">
        <f>=IF(O37&gt;0,"逾期","正常")</f>
        <v>32</v>
      </c>
      <c r="Q37" s="124" t="s">
        <v>84</v>
      </c>
      <c r="R37" s="125" t="s"/>
    </row>
    <row r="38" spans="1:18" s="879" customFormat="1">
      <c r="A38" s="98" t="s"/>
      <c r="B38" s="99" t="s"/>
      <c r="C38" s="100" t="s"/>
      <c r="D38" s="126" t="s">
        <v>22</v>
      </c>
      <c r="E38" s="127" t="s">
        <v>23</v>
      </c>
      <c r="F38" s="128">
        <f>=F39-F37</f>
        <v>30</v>
      </c>
      <c r="G38" s="154" t="s">
        <v>24</v>
      </c>
      <c r="H38" s="154" t="s">
        <v>50</v>
      </c>
      <c r="I38" s="155">
        <f>=M37</f>
        <v>45454</v>
      </c>
      <c r="J38" s="155">
        <f>=F39</f>
        <v>45472</v>
      </c>
      <c r="K38" s="154">
        <f>=J38</f>
        <v>45472</v>
      </c>
      <c r="L38" s="156">
        <f>=J38-I38</f>
        <v>18</v>
      </c>
      <c r="M38" s="155">
        <f>=K38</f>
        <v>45472</v>
      </c>
      <c r="N38" s="122">
        <f>=M38-I38</f>
        <v>18</v>
      </c>
      <c r="O38" s="127">
        <f>=IF(M38="",TODAY()-J38,M38-J38)</f>
        <v>0</v>
      </c>
      <c r="P38" s="131" t="s">
        <f>=IF(O38&gt;0,"逾期","正常")</f>
        <v>32</v>
      </c>
      <c r="Q38" s="135" t="s">
        <v>85</v>
      </c>
      <c r="R38" s="133" t="s"/>
    </row>
    <row r="39" spans="1:18" s="879" customFormat="1">
      <c r="A39" s="98" t="s"/>
      <c r="B39" s="99" t="s"/>
      <c r="C39" s="100" t="s"/>
      <c r="D39" s="127" t="s">
        <v>28</v>
      </c>
      <c r="E39" s="127" t="s">
        <v>29</v>
      </c>
      <c r="F39" s="134">
        <v>45472</v>
      </c>
      <c r="G39" s="129" t="s">
        <v>30</v>
      </c>
      <c r="H39" s="129" t="s">
        <v>31</v>
      </c>
      <c r="I39" s="126">
        <f>=M38</f>
        <v>45472</v>
      </c>
      <c r="J39" s="126">
        <f>=I39+L39</f>
        <v>45479</v>
      </c>
      <c r="K39" s="126">
        <f>=J39</f>
        <v>45479</v>
      </c>
      <c r="L39" s="130">
        <v>7</v>
      </c>
      <c r="M39" s="157">
        <f>=K39</f>
        <v>45479</v>
      </c>
      <c r="N39" s="122">
        <f>=M39-I39</f>
        <v>7</v>
      </c>
      <c r="O39" s="127">
        <f>=IF(M39="",TODAY()-J39,M39-J39)</f>
        <v>0</v>
      </c>
      <c r="P39" s="131" t="s">
        <f>=IF(O39&gt;0,"逾期","正常")</f>
        <v>32</v>
      </c>
      <c r="Q39" s="135" t="s"/>
      <c r="R39" s="133" t="s"/>
    </row>
    <row r="40" spans="1:18" s="879" customFormat="1">
      <c r="A40" s="98" t="s"/>
      <c r="B40" s="99" t="s"/>
      <c r="C40" s="100" t="s"/>
      <c r="D40" s="129" t="s">
        <v>33</v>
      </c>
      <c r="E40" s="127" t="s">
        <v>34</v>
      </c>
      <c r="F40" s="136">
        <f>=M38-F37</f>
        <v>30</v>
      </c>
      <c r="G40" s="127" t="s">
        <v>35</v>
      </c>
      <c r="H40" s="129" t="s">
        <v>80</v>
      </c>
      <c r="I40" s="126">
        <f>=M39</f>
        <v>45479</v>
      </c>
      <c r="J40" s="158">
        <f>=I40+L40</f>
        <v>45689</v>
      </c>
      <c r="K40" s="158">
        <f>=J40</f>
        <v>45689</v>
      </c>
      <c r="L40" s="159">
        <v>210</v>
      </c>
      <c r="M40" s="157">
        <v>45666</v>
      </c>
      <c r="N40" s="160">
        <f>=M40-I40</f>
        <v>187</v>
      </c>
      <c r="O40" s="127">
        <f>=IF(M40="",TODAY()-J40,M40-J40)</f>
        <v>-23</v>
      </c>
      <c r="P40" s="131" t="s">
        <f>=IF(O40&gt;0,"逾期","正常")</f>
        <v>32</v>
      </c>
      <c r="Q40" s="161" t="s">
        <v>86</v>
      </c>
      <c r="R40" s="133" t="s">
        <v>87</v>
      </c>
    </row>
    <row r="41" spans="1:18" s="879" customFormat="1">
      <c r="A41" s="98" t="s"/>
      <c r="B41" s="107" t="s"/>
      <c r="C41" s="108" t="s"/>
      <c r="D41" s="138" t="s">
        <v>36</v>
      </c>
      <c r="E41" s="139" t="s">
        <v>37</v>
      </c>
      <c r="F41" s="140">
        <v>0.5378</v>
      </c>
      <c r="G41" s="141" t="s">
        <v>38</v>
      </c>
      <c r="H41" s="142" t="s">
        <f>=D38</f>
        <v>22</v>
      </c>
      <c r="I41" s="143">
        <f>=M40</f>
        <v>45666</v>
      </c>
      <c r="J41" s="144">
        <f>=I41+L41</f>
        <v>45756</v>
      </c>
      <c r="K41" s="144">
        <f>=J41</f>
        <v>45756</v>
      </c>
      <c r="L41" s="145">
        <v>90</v>
      </c>
      <c r="M41" s="146" t="s"/>
      <c r="N41" s="147" t="s"/>
      <c r="O41" s="127">
        <f>=IF(M41="",TODAY()-J41,M41-J41)</f>
        <v>394</v>
      </c>
      <c r="P41" s="148" t="s">
        <f>=IF(O41&gt;0,"逾期","正常")</f>
        <v>21</v>
      </c>
      <c r="Q41" s="152" t="s"/>
      <c r="R41" s="153" t="s"/>
    </row>
    <row r="42" spans="1:18" s="879" customFormat="1">
      <c r="A42" s="89" t="s">
        <v>88</v>
      </c>
      <c r="B42" s="90" t="s">
        <v>15</v>
      </c>
      <c r="C42" s="91" t="s">
        <v>89</v>
      </c>
      <c r="D42" s="118" t="s">
        <v>17</v>
      </c>
      <c r="E42" s="118" t="s">
        <v>18</v>
      </c>
      <c r="F42" s="119">
        <v>45474</v>
      </c>
      <c r="G42" s="91" t="s">
        <v>19</v>
      </c>
      <c r="H42" s="91" t="s">
        <v>77</v>
      </c>
      <c r="I42" s="120">
        <f>=F42</f>
        <v>45474</v>
      </c>
      <c r="J42" s="120">
        <v>45489</v>
      </c>
      <c r="K42" s="120">
        <v>45484</v>
      </c>
      <c r="L42" s="91">
        <f>=J42-I42</f>
        <v>15</v>
      </c>
      <c r="M42" s="121">
        <v>45490</v>
      </c>
      <c r="N42" s="162">
        <f>=M42-I42</f>
        <v>16</v>
      </c>
      <c r="O42" s="118">
        <f>=IF(M42="",TODAY()-J42,M42-J42)</f>
        <v>1</v>
      </c>
      <c r="P42" s="123" t="s">
        <f>=IF(O42&gt;0,"逾期","正常")</f>
        <v>21</v>
      </c>
      <c r="Q42" s="124" t="s"/>
      <c r="R42" s="125" t="s"/>
    </row>
    <row r="43" spans="1:18" s="879" customFormat="1">
      <c r="A43" s="98" t="s"/>
      <c r="B43" s="99" t="s"/>
      <c r="C43" s="100" t="s"/>
      <c r="D43" s="126" t="s">
        <v>42</v>
      </c>
      <c r="E43" s="127" t="s">
        <v>23</v>
      </c>
      <c r="F43" s="128">
        <f>=F44-F42</f>
        <v>30</v>
      </c>
      <c r="G43" s="129" t="s">
        <v>24</v>
      </c>
      <c r="H43" s="129" t="s">
        <v>50</v>
      </c>
      <c r="I43" s="126">
        <f>=M42</f>
        <v>45490</v>
      </c>
      <c r="J43" s="126">
        <f>=F44</f>
        <v>45504</v>
      </c>
      <c r="K43" s="129">
        <f>=J43</f>
        <v>45504</v>
      </c>
      <c r="L43" s="130">
        <f>=J43-I43</f>
        <v>14</v>
      </c>
      <c r="M43" s="126">
        <v>45514</v>
      </c>
      <c r="N43" s="122">
        <f>=M43-I43</f>
        <v>24</v>
      </c>
      <c r="O43" s="127">
        <f>=IF(M43="",TODAY()-J43,M43-J43)</f>
        <v>10</v>
      </c>
      <c r="P43" s="131" t="s">
        <f>=IF(O43&gt;0,"逾期","正常")</f>
        <v>21</v>
      </c>
      <c r="Q43" s="135" t="s">
        <v>43</v>
      </c>
      <c r="R43" s="133" t="s"/>
    </row>
    <row r="44" spans="1:18" s="879" customFormat="1">
      <c r="A44" s="98" t="s"/>
      <c r="B44" s="99" t="s"/>
      <c r="C44" s="100" t="s"/>
      <c r="D44" s="127" t="s">
        <v>28</v>
      </c>
      <c r="E44" s="127" t="s">
        <v>29</v>
      </c>
      <c r="F44" s="134">
        <v>45504</v>
      </c>
      <c r="G44" s="129" t="s">
        <v>30</v>
      </c>
      <c r="H44" s="129" t="s">
        <v>31</v>
      </c>
      <c r="I44" s="126">
        <f>=M43</f>
        <v>45514</v>
      </c>
      <c r="J44" s="126">
        <f>=I44+7</f>
        <v>45521</v>
      </c>
      <c r="K44" s="126">
        <f>=J44</f>
        <v>45521</v>
      </c>
      <c r="L44" s="130">
        <f>=J44-I44</f>
        <v>7</v>
      </c>
      <c r="M44" s="163">
        <v>45523</v>
      </c>
      <c r="N44" s="122">
        <f>=M44-I44</f>
        <v>9</v>
      </c>
      <c r="O44" s="127">
        <f>=IF(M44="",TODAY()-J44,M44-J44)</f>
        <v>2</v>
      </c>
      <c r="P44" s="131" t="s">
        <f>=IF(O44&gt;0,"逾期","正常")</f>
        <v>21</v>
      </c>
      <c r="Q44" s="135" t="s">
        <v>90</v>
      </c>
      <c r="R44" s="133" t="s"/>
    </row>
    <row r="45" spans="1:17" s="879" customFormat="1">
      <c r="A45" s="98" t="s"/>
      <c r="B45" s="99" t="s"/>
      <c r="C45" s="100" t="s"/>
      <c r="D45" s="129" t="s">
        <v>46</v>
      </c>
      <c r="E45" s="127" t="s">
        <v>34</v>
      </c>
      <c r="F45" s="136">
        <f>=M43-F42</f>
        <v>40</v>
      </c>
      <c r="G45" s="164" t="s">
        <v>35</v>
      </c>
      <c r="H45" s="165" t="s">
        <v>91</v>
      </c>
      <c r="I45" s="166">
        <f>=M44</f>
        <v>45523</v>
      </c>
      <c r="J45" s="167">
        <f>=I45+L45</f>
        <v>45527</v>
      </c>
      <c r="K45" s="167">
        <f>=J45</f>
        <v>45527</v>
      </c>
      <c r="L45" s="168">
        <v>4</v>
      </c>
      <c r="M45" s="169" t="s"/>
      <c r="N45" s="170" t="s"/>
      <c r="O45" s="127">
        <f>=IF(M45="",TODAY()-J45,M45-J45)</f>
        <v>623</v>
      </c>
      <c r="P45" s="131" t="s">
        <f>=IF(O45&gt;0,"逾期","正常")</f>
        <v>21</v>
      </c>
      <c r="Q45" s="161" t="s"/>
    </row>
    <row r="46" spans="1:18" s="879" customFormat="1">
      <c r="A46" s="98" t="s"/>
      <c r="B46" s="107" t="s"/>
      <c r="C46" s="108" t="s"/>
      <c r="D46" s="138" t="s">
        <v>36</v>
      </c>
      <c r="E46" s="138" t="s">
        <v>37</v>
      </c>
      <c r="F46" s="140">
        <v>0.9</v>
      </c>
      <c r="G46" s="136" t="s">
        <v>38</v>
      </c>
      <c r="H46" s="171" t="s">
        <v>42</v>
      </c>
      <c r="I46" s="172" t="s"/>
      <c r="J46" s="173" t="s"/>
      <c r="K46" s="173" t="s"/>
      <c r="L46" s="174" t="s"/>
      <c r="M46" s="175" t="s"/>
      <c r="N46" s="170" t="s"/>
      <c r="O46" s="127" t="s"/>
      <c r="P46" s="148" t="s">
        <f>=IF(O46&gt;0,"逾期","正常")</f>
        <v>32</v>
      </c>
      <c r="Q46" s="152" t="s">
        <v>92</v>
      </c>
      <c r="R46" s="153" t="s"/>
    </row>
    <row r="47" spans="1:18" s="879" customFormat="1">
      <c r="A47" s="89" t="s">
        <v>93</v>
      </c>
      <c r="B47" s="90" t="s">
        <v>15</v>
      </c>
      <c r="C47" s="91" t="s">
        <v>94</v>
      </c>
      <c r="D47" s="118" t="s">
        <v>17</v>
      </c>
      <c r="E47" s="118" t="s">
        <v>18</v>
      </c>
      <c r="F47" s="119">
        <v>45475</v>
      </c>
      <c r="G47" s="91" t="s">
        <v>19</v>
      </c>
      <c r="H47" s="91" t="s">
        <v>20</v>
      </c>
      <c r="I47" s="120">
        <f>=F47</f>
        <v>45475</v>
      </c>
      <c r="J47" s="120">
        <v>45490</v>
      </c>
      <c r="K47" s="120">
        <v>45485</v>
      </c>
      <c r="L47" s="91">
        <f>=J47-I47</f>
        <v>15</v>
      </c>
      <c r="M47" s="121">
        <v>45483</v>
      </c>
      <c r="N47" s="162">
        <f>=M47-I47</f>
        <v>8</v>
      </c>
      <c r="O47" s="118">
        <f>=IF(M47="",TODAY()-J47,M47-J47)</f>
        <v>-7</v>
      </c>
      <c r="P47" s="123" t="s">
        <f>=IF(O47&gt;0,"逾期","正常")</f>
        <v>32</v>
      </c>
      <c r="Q47" s="124" t="s"/>
      <c r="R47" s="125" t="s"/>
    </row>
    <row r="48" spans="1:18" s="879" customFormat="1">
      <c r="A48" s="98" t="s"/>
      <c r="B48" s="99" t="s"/>
      <c r="C48" s="100" t="s"/>
      <c r="D48" s="126" t="s">
        <v>57</v>
      </c>
      <c r="E48" s="127" t="s">
        <v>23</v>
      </c>
      <c r="F48" s="128">
        <f>=F49-F47</f>
        <v>30</v>
      </c>
      <c r="G48" s="129" t="s">
        <v>24</v>
      </c>
      <c r="H48" s="129" t="s">
        <v>50</v>
      </c>
      <c r="I48" s="126">
        <f>=M47</f>
        <v>45483</v>
      </c>
      <c r="J48" s="126">
        <f>=F49</f>
        <v>45505</v>
      </c>
      <c r="K48" s="129">
        <f>=J48</f>
        <v>45505</v>
      </c>
      <c r="L48" s="130">
        <f>=J48-I48</f>
        <v>22</v>
      </c>
      <c r="M48" s="126">
        <v>45504</v>
      </c>
      <c r="N48" s="122">
        <f>=M48-I48</f>
        <v>21</v>
      </c>
      <c r="O48" s="127">
        <f>=IF(M48="",TODAY()-J48,M48-J48)</f>
        <v>-1</v>
      </c>
      <c r="P48" s="131" t="s">
        <f>=IF(O48&gt;0,"逾期","正常")</f>
        <v>32</v>
      </c>
      <c r="Q48" s="135" t="s"/>
      <c r="R48" s="133" t="s"/>
    </row>
    <row r="49" spans="1:18" s="879" customFormat="1">
      <c r="A49" s="98" t="s"/>
      <c r="B49" s="99" t="s"/>
      <c r="C49" s="100" t="s"/>
      <c r="D49" s="127" t="s">
        <v>28</v>
      </c>
      <c r="E49" s="127" t="s">
        <v>29</v>
      </c>
      <c r="F49" s="134">
        <v>45505</v>
      </c>
      <c r="G49" s="129" t="s">
        <v>30</v>
      </c>
      <c r="H49" s="129" t="s">
        <v>31</v>
      </c>
      <c r="I49" s="126">
        <f>=M48</f>
        <v>45504</v>
      </c>
      <c r="J49" s="126">
        <f>=I49+7</f>
        <v>45511</v>
      </c>
      <c r="K49" s="126">
        <f>=J49</f>
        <v>45511</v>
      </c>
      <c r="L49" s="176">
        <f>=J49-I49</f>
        <v>7</v>
      </c>
      <c r="M49" s="177">
        <v>45495</v>
      </c>
      <c r="N49" s="122">
        <f>=M49-I49</f>
        <v>-9</v>
      </c>
      <c r="O49" s="127">
        <f>=IF(M49="",TODAY()-J49,M49-J49)</f>
        <v>-16</v>
      </c>
      <c r="P49" s="131" t="s">
        <f>=IF(O49&gt;0,"逾期","正常")</f>
        <v>32</v>
      </c>
      <c r="Q49" s="135" t="s"/>
      <c r="R49" s="133" t="s"/>
    </row>
    <row r="50" spans="1:18" s="879" customFormat="1">
      <c r="A50" s="98" t="s"/>
      <c r="B50" s="99" t="s"/>
      <c r="C50" s="100" t="s"/>
      <c r="D50" s="129" t="s">
        <v>51</v>
      </c>
      <c r="E50" s="127" t="s">
        <v>34</v>
      </c>
      <c r="F50" s="136">
        <f>=M48-F47</f>
        <v>29</v>
      </c>
      <c r="G50" s="127" t="s">
        <v>35</v>
      </c>
      <c r="H50" s="129" t="s">
        <v>58</v>
      </c>
      <c r="I50" s="126">
        <f>=M49</f>
        <v>45495</v>
      </c>
      <c r="J50" s="158">
        <f>=I50+L50</f>
        <v>45555</v>
      </c>
      <c r="K50" s="158">
        <f>=J50</f>
        <v>45555</v>
      </c>
      <c r="L50" s="159">
        <v>60</v>
      </c>
      <c r="M50" s="178">
        <v>45555</v>
      </c>
      <c r="N50" s="170">
        <f>=M50-I50</f>
        <v>60</v>
      </c>
      <c r="O50" s="127">
        <f>=IF(M50="",TODAY()-J50,M50-J50)</f>
        <v>0</v>
      </c>
      <c r="P50" s="131" t="s">
        <f>=IF(O50&gt;0,"逾期","正常")</f>
        <v>32</v>
      </c>
      <c r="Q50" s="161" t="s"/>
      <c r="R50" s="133" t="s"/>
    </row>
    <row r="51" spans="1:18" s="879" customFormat="1">
      <c r="A51" s="98" t="s"/>
      <c r="B51" s="107" t="s"/>
      <c r="C51" s="108" t="s"/>
      <c r="D51" s="138" t="s">
        <v>36</v>
      </c>
      <c r="E51" s="138" t="s">
        <v>37</v>
      </c>
      <c r="F51" s="140">
        <v>0.5556</v>
      </c>
      <c r="G51" s="141" t="s">
        <v>38</v>
      </c>
      <c r="H51" s="142" t="s">
        <f>=D48</f>
        <v>57</v>
      </c>
      <c r="I51" s="143">
        <f>=M50</f>
        <v>45555</v>
      </c>
      <c r="J51" s="144">
        <f>=I51+L51</f>
        <v>45645</v>
      </c>
      <c r="K51" s="144">
        <f>=J51</f>
        <v>45645</v>
      </c>
      <c r="L51" s="145">
        <v>90</v>
      </c>
      <c r="M51" s="146" t="s"/>
      <c r="N51" s="170" t="s"/>
      <c r="O51" s="127">
        <f>=IF(M51="",TODAY()-J51,M51-J51)</f>
        <v>497</v>
      </c>
      <c r="P51" s="148" t="s">
        <f>=IF(O51&gt;0,"逾期","正常")</f>
        <v>21</v>
      </c>
      <c r="Q51" s="152" t="s"/>
      <c r="R51" s="153" t="s"/>
    </row>
    <row r="52" spans="1:18" s="879" customFormat="1">
      <c r="A52" s="179" t="s">
        <v>95</v>
      </c>
      <c r="B52" s="90" t="s">
        <v>32</v>
      </c>
      <c r="C52" s="180" t="s">
        <v>48</v>
      </c>
      <c r="D52" s="181" t="s">
        <v>17</v>
      </c>
      <c r="E52" s="181" t="s">
        <v>18</v>
      </c>
      <c r="F52" s="119">
        <v>45509</v>
      </c>
      <c r="G52" s="180" t="s">
        <v>19</v>
      </c>
      <c r="H52" s="180" t="s">
        <v>41</v>
      </c>
      <c r="I52" s="119">
        <f>=F52</f>
        <v>45509</v>
      </c>
      <c r="J52" s="119">
        <v>45524</v>
      </c>
      <c r="K52" s="119">
        <v>45519</v>
      </c>
      <c r="L52" s="180">
        <f>=J52-I52</f>
        <v>15</v>
      </c>
      <c r="M52" s="182">
        <v>45524</v>
      </c>
      <c r="N52" s="183">
        <f>=M52-I52</f>
        <v>15</v>
      </c>
      <c r="O52" s="118">
        <f>=IF(M52="",TODAY()-J52,M52-J52)</f>
        <v>0</v>
      </c>
      <c r="P52" s="123" t="s">
        <f>=IF(O52&gt;0,"逾期","正常")</f>
        <v>32</v>
      </c>
      <c r="Q52" s="124" t="s"/>
      <c r="R52" s="125" t="s"/>
    </row>
    <row r="53" spans="1:18" s="879" customFormat="1">
      <c r="A53" s="98" t="s"/>
      <c r="B53" s="99" t="s"/>
      <c r="C53" s="100" t="s"/>
      <c r="D53" s="184" t="s">
        <v>57</v>
      </c>
      <c r="E53" s="185" t="s">
        <v>23</v>
      </c>
      <c r="F53" s="128">
        <f>=F54-F52</f>
        <v>30</v>
      </c>
      <c r="G53" s="141" t="s">
        <v>24</v>
      </c>
      <c r="H53" s="141" t="s">
        <v>50</v>
      </c>
      <c r="I53" s="186">
        <f>=M52</f>
        <v>45524</v>
      </c>
      <c r="J53" s="186">
        <f>=F54</f>
        <v>45539</v>
      </c>
      <c r="K53" s="141">
        <f>=J53</f>
        <v>45539</v>
      </c>
      <c r="L53" s="187">
        <f>=J53-I53</f>
        <v>15</v>
      </c>
      <c r="M53" s="186" t="s"/>
      <c r="N53" s="122" t="s"/>
      <c r="O53" s="127">
        <f>=IF(M53="",TODAY()-J53,M53-J53)</f>
        <v>611</v>
      </c>
      <c r="P53" s="131" t="s">
        <f>=IF(O53&gt;0,"逾期","正常")</f>
        <v>21</v>
      </c>
      <c r="Q53" s="135" t="s">
        <v>96</v>
      </c>
      <c r="R53" s="133" t="s">
        <v>97</v>
      </c>
    </row>
    <row r="54" spans="1:18" s="879" customFormat="1">
      <c r="A54" s="98" t="s"/>
      <c r="B54" s="99" t="s"/>
      <c r="C54" s="100" t="s"/>
      <c r="D54" s="185" t="s">
        <v>28</v>
      </c>
      <c r="E54" s="185" t="s">
        <v>29</v>
      </c>
      <c r="F54" s="134">
        <v>45539</v>
      </c>
      <c r="G54" s="129" t="s">
        <v>30</v>
      </c>
      <c r="H54" s="129" t="s">
        <v>31</v>
      </c>
      <c r="I54" s="126" t="s"/>
      <c r="J54" s="126" t="s"/>
      <c r="K54" s="126" t="s"/>
      <c r="L54" s="130" t="s"/>
      <c r="M54" s="163" t="s"/>
      <c r="N54" s="122" t="s"/>
      <c r="O54" s="131" t="s"/>
      <c r="P54" s="131" t="s">
        <f>=IF(O54&gt;0,"逾期","正常")</f>
        <v>32</v>
      </c>
      <c r="Q54" s="135" t="s"/>
      <c r="R54" s="133" t="s"/>
    </row>
    <row r="55" spans="1:18" s="879" customFormat="1">
      <c r="A55" s="98" t="s"/>
      <c r="B55" s="99" t="s"/>
      <c r="C55" s="100" t="s"/>
      <c r="D55" s="188" t="s">
        <v>51</v>
      </c>
      <c r="E55" s="185" t="s">
        <v>34</v>
      </c>
      <c r="F55" s="128">
        <f>=IF(M53="",TODAY()-F52,M53-F52)</f>
        <v>641</v>
      </c>
      <c r="G55" s="127" t="s">
        <v>35</v>
      </c>
      <c r="H55" s="129" t="s"/>
      <c r="I55" s="126" t="s"/>
      <c r="J55" s="158" t="s"/>
      <c r="K55" s="158" t="s"/>
      <c r="L55" s="159" t="s"/>
      <c r="M55" s="189" t="s"/>
      <c r="N55" s="127" t="s"/>
      <c r="O55" s="131" t="s"/>
      <c r="P55" s="131" t="s">
        <f>=IF(O55&gt;0,"逾期","正常")</f>
        <v>32</v>
      </c>
      <c r="Q55" s="161" t="s"/>
      <c r="R55" s="133" t="s"/>
    </row>
    <row r="56" spans="1:18" s="879" customFormat="1">
      <c r="A56" s="98" t="s"/>
      <c r="B56" s="107" t="s"/>
      <c r="C56" s="108" t="s"/>
      <c r="D56" s="190" t="s">
        <v>36</v>
      </c>
      <c r="E56" s="190" t="s">
        <v>37</v>
      </c>
      <c r="F56" s="140">
        <v>0.5</v>
      </c>
      <c r="G56" s="129" t="s">
        <v>38</v>
      </c>
      <c r="H56" s="139" t="s">
        <f>=D53</f>
        <v>57</v>
      </c>
      <c r="I56" s="191" t="s"/>
      <c r="J56" s="192" t="s"/>
      <c r="K56" s="192" t="s"/>
      <c r="L56" s="138">
        <v>60</v>
      </c>
      <c r="M56" s="193" t="s"/>
      <c r="N56" s="147" t="s"/>
      <c r="O56" s="138" t="s"/>
      <c r="P56" s="148" t="s">
        <f>=IF(O56&gt;0,"逾期","正常")</f>
        <v>32</v>
      </c>
      <c r="Q56" s="152" t="s"/>
      <c r="R56" s="153" t="s"/>
    </row>
    <row r="57" spans="1:18" s="879" customFormat="1">
      <c r="A57" s="179" t="s">
        <v>98</v>
      </c>
      <c r="B57" s="90" t="s">
        <v>32</v>
      </c>
      <c r="C57" s="180" t="s">
        <v>48</v>
      </c>
      <c r="D57" s="181" t="s">
        <v>17</v>
      </c>
      <c r="E57" s="181" t="s">
        <v>18</v>
      </c>
      <c r="F57" s="119">
        <v>45520</v>
      </c>
      <c r="G57" s="180" t="s">
        <v>19</v>
      </c>
      <c r="H57" s="180" t="s">
        <v>20</v>
      </c>
      <c r="I57" s="119">
        <f>=F57</f>
        <v>45520</v>
      </c>
      <c r="J57" s="119">
        <v>45536</v>
      </c>
      <c r="K57" s="119">
        <v>45530</v>
      </c>
      <c r="L57" s="180">
        <f>=J57-I57</f>
        <v>16</v>
      </c>
      <c r="M57" s="182">
        <v>45534</v>
      </c>
      <c r="N57" s="183">
        <f>=M57-I57</f>
        <v>14</v>
      </c>
      <c r="O57" s="118">
        <f>=IF(M57="",TODAY()-J57,M57-J57)</f>
        <v>-2</v>
      </c>
      <c r="P57" s="123" t="s">
        <f>=IF(O57&gt;0,"逾期","正常")</f>
        <v>32</v>
      </c>
      <c r="Q57" s="124" t="s"/>
      <c r="R57" s="125" t="s"/>
    </row>
    <row r="58" spans="1:18" s="879" customFormat="1">
      <c r="A58" s="98" t="s"/>
      <c r="B58" s="99" t="s"/>
      <c r="C58" s="100" t="s"/>
      <c r="D58" s="134" t="s">
        <v>57</v>
      </c>
      <c r="E58" s="128" t="s">
        <v>23</v>
      </c>
      <c r="F58" s="128">
        <f>=F59-F57</f>
        <v>30</v>
      </c>
      <c r="G58" s="136" t="s">
        <v>24</v>
      </c>
      <c r="H58" s="136" t="s">
        <v>50</v>
      </c>
      <c r="I58" s="134">
        <f>=M57</f>
        <v>45534</v>
      </c>
      <c r="J58" s="134">
        <f>=F59</f>
        <v>45550</v>
      </c>
      <c r="K58" s="136">
        <f>=J58</f>
        <v>45550</v>
      </c>
      <c r="L58" s="151">
        <f>=J58-I58</f>
        <v>16</v>
      </c>
      <c r="M58" s="134">
        <v>45581</v>
      </c>
      <c r="N58" s="194">
        <f>=M58-I58</f>
        <v>47</v>
      </c>
      <c r="O58" s="127">
        <f>=IF(M58="",TODAY()-J58,M58-J58)</f>
        <v>31</v>
      </c>
      <c r="P58" s="131" t="s">
        <f>=IF(O58&gt;0,"逾期","正常")</f>
        <v>21</v>
      </c>
      <c r="Q58" s="135" t="s">
        <v>43</v>
      </c>
      <c r="R58" s="133" t="s"/>
    </row>
    <row r="59" spans="1:18" s="879" customFormat="1">
      <c r="A59" s="98" t="s"/>
      <c r="B59" s="99" t="s"/>
      <c r="C59" s="100" t="s"/>
      <c r="D59" s="185" t="s">
        <v>28</v>
      </c>
      <c r="E59" s="185" t="s">
        <v>29</v>
      </c>
      <c r="F59" s="134">
        <v>45550</v>
      </c>
      <c r="G59" s="129" t="s">
        <v>30</v>
      </c>
      <c r="H59" s="129" t="s">
        <v>31</v>
      </c>
      <c r="I59" s="126">
        <f>=M58</f>
        <v>45581</v>
      </c>
      <c r="J59" s="126">
        <f>=I59+7</f>
        <v>45588</v>
      </c>
      <c r="K59" s="126">
        <f>=J59</f>
        <v>45588</v>
      </c>
      <c r="L59" s="130">
        <f>=J59-I59</f>
        <v>7</v>
      </c>
      <c r="M59" s="163">
        <v>45583</v>
      </c>
      <c r="N59" s="122">
        <f>=M59-I59</f>
        <v>2</v>
      </c>
      <c r="O59" s="127">
        <f>=IF(M59="",TODAY()-J59,M59-J59)</f>
        <v>-5</v>
      </c>
      <c r="P59" s="131" t="s">
        <f>=IF(O59&gt;0,"逾期","正常")</f>
        <v>32</v>
      </c>
      <c r="Q59" s="135" t="s"/>
      <c r="R59" s="133" t="s"/>
    </row>
    <row r="60" spans="1:18" s="879" customFormat="1">
      <c r="A60" s="98" t="s"/>
      <c r="B60" s="99" t="s"/>
      <c r="C60" s="100" t="s"/>
      <c r="D60" s="188" t="s">
        <v>33</v>
      </c>
      <c r="E60" s="185" t="s">
        <v>34</v>
      </c>
      <c r="F60" s="136">
        <f>=M58-F57</f>
        <v>61</v>
      </c>
      <c r="G60" s="127" t="s">
        <v>35</v>
      </c>
      <c r="H60" s="129" t="s">
        <v>99</v>
      </c>
      <c r="I60" s="126">
        <f>=M59</f>
        <v>45583</v>
      </c>
      <c r="J60" s="158">
        <f>=I60+L60</f>
        <v>45589</v>
      </c>
      <c r="K60" s="158">
        <f>=J60</f>
        <v>45589</v>
      </c>
      <c r="L60" s="159">
        <v>6</v>
      </c>
      <c r="M60" s="178">
        <v>45595</v>
      </c>
      <c r="N60" s="170">
        <f>=M60-I60</f>
        <v>12</v>
      </c>
      <c r="O60" s="127">
        <f>=IF(M60="",TODAY()-J60,M60-J60)</f>
        <v>6</v>
      </c>
      <c r="P60" s="131" t="s">
        <f>=IF(O60&gt;0,"逾期","正常")</f>
        <v>21</v>
      </c>
      <c r="Q60" s="161" t="s">
        <v>100</v>
      </c>
      <c r="R60" s="133" t="s"/>
    </row>
    <row r="61" spans="1:18" s="879" customFormat="1">
      <c r="A61" s="98" t="s"/>
      <c r="B61" s="107" t="s"/>
      <c r="C61" s="108" t="s"/>
      <c r="D61" s="190" t="s">
        <v>36</v>
      </c>
      <c r="E61" s="190" t="s">
        <v>37</v>
      </c>
      <c r="F61" s="140">
        <v>0.98</v>
      </c>
      <c r="G61" s="141" t="s">
        <v>38</v>
      </c>
      <c r="H61" s="142" t="s">
        <f>=D58</f>
        <v>57</v>
      </c>
      <c r="I61" s="143">
        <f>=M60</f>
        <v>45595</v>
      </c>
      <c r="J61" s="195">
        <f>=I61+L61</f>
        <v>45685</v>
      </c>
      <c r="K61" s="195">
        <f>=J61</f>
        <v>45685</v>
      </c>
      <c r="L61" s="145">
        <v>90</v>
      </c>
      <c r="M61" s="146" t="s"/>
      <c r="N61" s="147" t="s"/>
      <c r="O61" s="127">
        <f>=IF(M61="",TODAY()-J61,M61-J61)</f>
        <v>457</v>
      </c>
      <c r="P61" s="148" t="s">
        <f>=IF(O61&gt;0,"逾期","正常")</f>
        <v>21</v>
      </c>
      <c r="Q61" s="152" t="s"/>
      <c r="R61" s="153" t="s"/>
    </row>
    <row r="62" spans="1:18" s="879" customFormat="1">
      <c r="A62" s="179" t="s">
        <v>101</v>
      </c>
      <c r="B62" s="90" t="s">
        <v>15</v>
      </c>
      <c r="C62" s="180" t="s">
        <v>102</v>
      </c>
      <c r="D62" s="181" t="s">
        <v>17</v>
      </c>
      <c r="E62" s="181" t="s">
        <v>18</v>
      </c>
      <c r="F62" s="119">
        <v>45523</v>
      </c>
      <c r="G62" s="180" t="s">
        <v>19</v>
      </c>
      <c r="H62" s="180" t="s">
        <v>41</v>
      </c>
      <c r="I62" s="119">
        <f>=F62</f>
        <v>45523</v>
      </c>
      <c r="J62" s="119">
        <v>45543</v>
      </c>
      <c r="K62" s="119">
        <v>45538</v>
      </c>
      <c r="L62" s="180">
        <f>=J62-I62</f>
        <v>20</v>
      </c>
      <c r="M62" s="182">
        <v>45545</v>
      </c>
      <c r="N62" s="183">
        <f>=M62-I62</f>
        <v>22</v>
      </c>
      <c r="O62" s="91">
        <f>=IF(M62="",TODAY()-J62,M62-J62)</f>
        <v>2</v>
      </c>
      <c r="P62" s="123" t="s">
        <f>=IF(O62&gt;0,"逾期","正常")</f>
        <v>21</v>
      </c>
      <c r="Q62" s="124" t="s"/>
      <c r="R62" s="125" t="s"/>
    </row>
    <row r="63" spans="1:18" s="879" customFormat="1">
      <c r="A63" s="98" t="s"/>
      <c r="B63" s="99" t="s"/>
      <c r="C63" s="100" t="s"/>
      <c r="D63" s="134" t="s">
        <v>65</v>
      </c>
      <c r="E63" s="128" t="s">
        <v>23</v>
      </c>
      <c r="F63" s="128">
        <f>=F64-F62</f>
        <v>55</v>
      </c>
      <c r="G63" s="136" t="s">
        <v>24</v>
      </c>
      <c r="H63" s="136" t="s">
        <v>25</v>
      </c>
      <c r="I63" s="134">
        <f>=M62</f>
        <v>45545</v>
      </c>
      <c r="J63" s="134">
        <f>=F64</f>
        <v>45578</v>
      </c>
      <c r="K63" s="136">
        <f>=J63</f>
        <v>45578</v>
      </c>
      <c r="L63" s="151">
        <f>=J63-I63</f>
        <v>33</v>
      </c>
      <c r="M63" s="134">
        <v>45591</v>
      </c>
      <c r="N63" s="194">
        <f>=M63-I63</f>
        <v>46</v>
      </c>
      <c r="O63" s="129">
        <f>=IF(M63="",TODAY()-J63,M63-J63)</f>
        <v>13</v>
      </c>
      <c r="P63" s="131" t="s">
        <f>=IF(O63&gt;0,"逾期","正常")</f>
        <v>21</v>
      </c>
      <c r="Q63" s="135" t="s">
        <v>103</v>
      </c>
      <c r="R63" s="133" t="s"/>
    </row>
    <row r="64" spans="1:18" s="879" customFormat="1">
      <c r="A64" s="98" t="s"/>
      <c r="B64" s="99" t="s"/>
      <c r="C64" s="100" t="s"/>
      <c r="D64" s="185" t="s">
        <v>28</v>
      </c>
      <c r="E64" s="185" t="s">
        <v>29</v>
      </c>
      <c r="F64" s="134">
        <v>45578</v>
      </c>
      <c r="G64" s="129" t="s">
        <v>30</v>
      </c>
      <c r="H64" s="129" t="s">
        <v>31</v>
      </c>
      <c r="I64" s="126">
        <f>=M63</f>
        <v>45591</v>
      </c>
      <c r="J64" s="126">
        <f>=I64+7</f>
        <v>45598</v>
      </c>
      <c r="K64" s="126">
        <f>=J64</f>
        <v>45598</v>
      </c>
      <c r="L64" s="130">
        <f>=J64-I64</f>
        <v>7</v>
      </c>
      <c r="M64" s="163">
        <v>45594</v>
      </c>
      <c r="N64" s="122">
        <f>=M64-I64</f>
        <v>3</v>
      </c>
      <c r="O64" s="129">
        <f>=IF(M64="",TODAY()-J64,M64-J64)</f>
        <v>-4</v>
      </c>
      <c r="P64" s="131" t="s">
        <f>=IF(O64&gt;0,"逾期","正常")</f>
        <v>32</v>
      </c>
      <c r="Q64" s="135" t="s"/>
      <c r="R64" s="133" t="s"/>
    </row>
    <row r="65" spans="1:18" s="879" customFormat="1">
      <c r="A65" s="98" t="s"/>
      <c r="B65" s="99" t="s"/>
      <c r="C65" s="100" t="s"/>
      <c r="D65" s="188" t="s">
        <v>46</v>
      </c>
      <c r="E65" s="185" t="s">
        <v>34</v>
      </c>
      <c r="F65" s="136">
        <f>=M63-F62</f>
        <v>68</v>
      </c>
      <c r="G65" s="196" t="s">
        <v>35</v>
      </c>
      <c r="H65" s="141" t="s">
        <v>104</v>
      </c>
      <c r="I65" s="186">
        <f>=M64</f>
        <v>45594</v>
      </c>
      <c r="J65" s="195">
        <f>=I65+L65</f>
        <v>45684</v>
      </c>
      <c r="K65" s="195">
        <f>=J65</f>
        <v>45684</v>
      </c>
      <c r="L65" s="197">
        <v>90</v>
      </c>
      <c r="M65" s="198">
        <v>45789</v>
      </c>
      <c r="N65" s="170">
        <f>=M65-I65</f>
        <v>195</v>
      </c>
      <c r="O65" s="129">
        <f>=IF(M65="",TODAY()-J65,M65-J65)</f>
        <v>105</v>
      </c>
      <c r="P65" s="131" t="s">
        <f>=IF(O65&gt;0,"逾期","正常")</f>
        <v>21</v>
      </c>
      <c r="Q65" s="161" t="s">
        <v>105</v>
      </c>
      <c r="R65" s="133" t="s"/>
    </row>
    <row r="66" spans="1:18" s="879" customFormat="1">
      <c r="A66" s="98" t="s"/>
      <c r="B66" s="107" t="s"/>
      <c r="C66" s="108" t="s"/>
      <c r="D66" s="190" t="s">
        <v>36</v>
      </c>
      <c r="E66" s="190" t="s">
        <v>37</v>
      </c>
      <c r="F66" s="140">
        <v>0.7</v>
      </c>
      <c r="G66" s="141" t="s">
        <v>38</v>
      </c>
      <c r="H66" s="142" t="s">
        <f>=D63</f>
        <v>65</v>
      </c>
      <c r="I66" s="143">
        <f>=M65</f>
        <v>45789</v>
      </c>
      <c r="J66" s="144">
        <f>=I66+L66</f>
        <v>45879</v>
      </c>
      <c r="K66" s="144">
        <f>=J66</f>
        <v>45879</v>
      </c>
      <c r="L66" s="145">
        <v>90</v>
      </c>
      <c r="M66" s="146" t="s"/>
      <c r="N66" s="147" t="s"/>
      <c r="O66" s="129">
        <f>=IF(M66="",TODAY()-J66,M66-J66)</f>
        <v>263</v>
      </c>
      <c r="P66" s="148" t="s">
        <f>=IF(O66&gt;0,"逾期","正常")</f>
        <v>21</v>
      </c>
      <c r="Q66" s="152" t="s">
        <v>106</v>
      </c>
      <c r="R66" s="153" t="s"/>
    </row>
    <row r="67" spans="1:18" s="879" customFormat="1">
      <c r="A67" s="199" t="s">
        <v>107</v>
      </c>
      <c r="B67" s="90" t="s">
        <v>32</v>
      </c>
      <c r="C67" s="118" t="s">
        <v>108</v>
      </c>
      <c r="D67" s="84" t="s">
        <v>17</v>
      </c>
      <c r="E67" s="84" t="s">
        <v>18</v>
      </c>
      <c r="F67" s="92">
        <v>45564</v>
      </c>
      <c r="G67" s="26" t="s">
        <v>19</v>
      </c>
      <c r="H67" s="84" t="s">
        <v>20</v>
      </c>
      <c r="I67" s="66">
        <f>=F67</f>
        <v>45564</v>
      </c>
      <c r="J67" s="200">
        <v>45584</v>
      </c>
      <c r="K67" s="66">
        <v>45574</v>
      </c>
      <c r="L67" s="84">
        <f>=J67-I67</f>
        <v>20</v>
      </c>
      <c r="M67" s="201">
        <v>45579</v>
      </c>
      <c r="N67" s="202">
        <f>=M67-I67</f>
        <v>15</v>
      </c>
      <c r="O67" s="84">
        <f>=IF(M67="",TODAY()-J67,M67-J67)</f>
        <v>-5</v>
      </c>
      <c r="P67" s="29" t="s">
        <f>=IF(O67&gt;0,"逾期","正常")</f>
        <v>32</v>
      </c>
      <c r="Q67" s="96" t="s"/>
      <c r="R67" s="97" t="s"/>
    </row>
    <row r="68" spans="1:18" s="879" customFormat="1">
      <c r="A68" s="98" t="s"/>
      <c r="B68" s="99" t="s"/>
      <c r="C68" s="100" t="s"/>
      <c r="D68" s="203" t="s">
        <v>57</v>
      </c>
      <c r="E68" s="28" t="s">
        <v>23</v>
      </c>
      <c r="F68" s="69">
        <f>=F69-F67</f>
        <v>30</v>
      </c>
      <c r="G68" s="71" t="s">
        <v>24</v>
      </c>
      <c r="H68" s="71" t="s">
        <v>50</v>
      </c>
      <c r="I68" s="70">
        <f>=M67</f>
        <v>45579</v>
      </c>
      <c r="J68" s="203">
        <f>=F69</f>
        <v>45594</v>
      </c>
      <c r="K68" s="203">
        <f>=J68</f>
        <v>45594</v>
      </c>
      <c r="L68" s="204">
        <f>=J68-I68</f>
        <v>15</v>
      </c>
      <c r="M68" s="203">
        <v>45636</v>
      </c>
      <c r="N68" s="95">
        <f>=M68-I68</f>
        <v>57</v>
      </c>
      <c r="O68" s="28">
        <f>=IF(M68="",TODAY()-J68,M68-J68)</f>
        <v>42</v>
      </c>
      <c r="P68" s="43" t="s">
        <f>=IF(O68&gt;0,"逾期","正常")</f>
        <v>21</v>
      </c>
      <c r="Q68" s="73" t="s">
        <v>43</v>
      </c>
      <c r="R68" s="103" t="s">
        <v>109</v>
      </c>
    </row>
    <row r="69" spans="1:18" s="879" customFormat="1">
      <c r="A69" s="98" t="s"/>
      <c r="B69" s="99" t="s"/>
      <c r="C69" s="100" t="s"/>
      <c r="D69" s="28" t="s">
        <v>28</v>
      </c>
      <c r="E69" s="28" t="s">
        <v>29</v>
      </c>
      <c r="F69" s="46">
        <v>45594</v>
      </c>
      <c r="G69" s="71" t="s">
        <v>30</v>
      </c>
      <c r="H69" s="71" t="s">
        <v>31</v>
      </c>
      <c r="I69" s="70">
        <f>=M68</f>
        <v>45636</v>
      </c>
      <c r="J69" s="70">
        <f>=I69+7</f>
        <v>45643</v>
      </c>
      <c r="K69" s="70">
        <f>=J69</f>
        <v>45643</v>
      </c>
      <c r="L69" s="102">
        <f>=J69-I69</f>
        <v>7</v>
      </c>
      <c r="M69" s="70">
        <v>45637</v>
      </c>
      <c r="N69" s="95">
        <f>=M69-I69</f>
        <v>1</v>
      </c>
      <c r="O69" s="28">
        <f>=IF(M69="",TODAY()-J69,M69-J69)</f>
        <v>-6</v>
      </c>
      <c r="P69" s="43" t="s">
        <f>=IF(O69&gt;0,"逾期","正常")</f>
        <v>32</v>
      </c>
      <c r="Q69" s="73" t="s"/>
      <c r="R69" s="103" t="s"/>
    </row>
    <row r="70" spans="1:18" s="879" customFormat="1">
      <c r="A70" s="98" t="s"/>
      <c r="B70" s="99" t="s"/>
      <c r="C70" s="100" t="s"/>
      <c r="D70" s="28" t="s">
        <v>33</v>
      </c>
      <c r="E70" s="28" t="s">
        <v>34</v>
      </c>
      <c r="F70" s="51">
        <f>=M68-F67</f>
        <v>72</v>
      </c>
      <c r="G70" s="28" t="s">
        <v>35</v>
      </c>
      <c r="H70" s="71" t="s">
        <v>110</v>
      </c>
      <c r="I70" s="70">
        <f>=M69</f>
        <v>45637</v>
      </c>
      <c r="J70" s="203">
        <f>=I70+L70</f>
        <v>45647</v>
      </c>
      <c r="K70" s="203">
        <f>=J70</f>
        <v>45647</v>
      </c>
      <c r="L70" s="205">
        <v>10</v>
      </c>
      <c r="M70" s="206">
        <v>45647</v>
      </c>
      <c r="N70" s="28">
        <f>=M70-I70</f>
        <v>10</v>
      </c>
      <c r="O70" s="28">
        <f>=IF(M70="",TODAY()-J70,M70-J70)</f>
        <v>0</v>
      </c>
      <c r="P70" s="43" t="s">
        <f>=IF(O70&gt;0,"逾期","正常")</f>
        <v>32</v>
      </c>
      <c r="Q70" s="73" t="s"/>
      <c r="R70" s="103" t="s"/>
    </row>
    <row r="71" spans="1:18" s="879" customFormat="1">
      <c r="A71" s="98" t="s"/>
      <c r="B71" s="107" t="s"/>
      <c r="C71" s="108" t="s"/>
      <c r="D71" s="109" t="s">
        <v>36</v>
      </c>
      <c r="E71" s="109" t="s">
        <v>37</v>
      </c>
      <c r="F71" s="110">
        <v>0.9</v>
      </c>
      <c r="G71" s="85" t="s">
        <v>38</v>
      </c>
      <c r="H71" s="82" t="s">
        <f>=D68</f>
        <v>57</v>
      </c>
      <c r="I71" s="111">
        <f>=M70</f>
        <v>45647</v>
      </c>
      <c r="J71" s="112">
        <f>=I71+L71</f>
        <v>45737</v>
      </c>
      <c r="K71" s="112">
        <f>=J71</f>
        <v>45737</v>
      </c>
      <c r="L71" s="113">
        <v>90</v>
      </c>
      <c r="M71" s="207" t="s"/>
      <c r="N71" s="208" t="s"/>
      <c r="O71" s="109">
        <f>=IF(M71="",TODAY()-J71,M71-J71)</f>
        <v>405</v>
      </c>
      <c r="P71" s="62" t="s">
        <f>=IF(O71&gt;0,"逾期","正常")</f>
        <v>21</v>
      </c>
      <c r="Q71" s="116" t="s"/>
      <c r="R71" s="117" t="s"/>
    </row>
    <row r="72" spans="1:18" s="880" customFormat="1">
      <c r="A72" s="209" t="s">
        <v>111</v>
      </c>
      <c r="B72" s="210" t="s">
        <v>32</v>
      </c>
      <c r="C72" s="84" t="s">
        <v>112</v>
      </c>
      <c r="D72" s="84" t="s">
        <v>17</v>
      </c>
      <c r="E72" s="84" t="s">
        <v>18</v>
      </c>
      <c r="F72" s="211">
        <v>45582</v>
      </c>
      <c r="G72" s="84" t="s">
        <v>19</v>
      </c>
      <c r="H72" s="84" t="s">
        <v>41</v>
      </c>
      <c r="I72" s="200">
        <f>=F72</f>
        <v>45582</v>
      </c>
      <c r="J72" s="200">
        <v>45602</v>
      </c>
      <c r="K72" s="66">
        <v>45597</v>
      </c>
      <c r="L72" s="84">
        <f>=J72-I72</f>
        <v>20</v>
      </c>
      <c r="M72" s="212">
        <v>45607</v>
      </c>
      <c r="N72" s="213">
        <f>=M72-I72</f>
        <v>25</v>
      </c>
      <c r="O72" s="84">
        <f>=IF(M72="",TODAY()-J72,M72-J72)</f>
        <v>5</v>
      </c>
      <c r="P72" s="29" t="s">
        <f>=IF(O72&gt;0,"逾期","正常")</f>
        <v>21</v>
      </c>
      <c r="Q72" s="96" t="s">
        <v>113</v>
      </c>
      <c r="R72" s="97" t="s"/>
    </row>
    <row r="73" spans="1:18" s="880" customFormat="1">
      <c r="A73" s="214" t="s"/>
      <c r="B73" s="215" t="s"/>
      <c r="C73" s="216" t="s"/>
      <c r="D73" s="203" t="s">
        <v>57</v>
      </c>
      <c r="E73" s="28" t="s">
        <v>23</v>
      </c>
      <c r="F73" s="69">
        <f>=F74-F72</f>
        <v>45</v>
      </c>
      <c r="G73" s="28" t="s">
        <v>24</v>
      </c>
      <c r="H73" s="28" t="s">
        <v>25</v>
      </c>
      <c r="I73" s="203">
        <f>=M72</f>
        <v>45607</v>
      </c>
      <c r="J73" s="203">
        <f>=F74</f>
        <v>45627</v>
      </c>
      <c r="K73" s="203">
        <f>=J73</f>
        <v>45627</v>
      </c>
      <c r="L73" s="217">
        <f>=J73-I73</f>
        <v>20</v>
      </c>
      <c r="M73" s="203">
        <v>45650</v>
      </c>
      <c r="N73" s="79">
        <f>=M73-I73</f>
        <v>43</v>
      </c>
      <c r="O73" s="28">
        <f>=IF(M73="",TODAY()-J73,M73-J73)</f>
        <v>23</v>
      </c>
      <c r="P73" s="43" t="s">
        <f>=IF(O73&gt;0,"逾期","正常")</f>
        <v>21</v>
      </c>
      <c r="Q73" s="73" t="s">
        <v>114</v>
      </c>
      <c r="R73" s="103" t="s"/>
    </row>
    <row r="74" spans="1:18" s="880" customFormat="1">
      <c r="A74" s="214" t="s"/>
      <c r="B74" s="215" t="s"/>
      <c r="C74" s="216" t="s"/>
      <c r="D74" s="28" t="s">
        <v>28</v>
      </c>
      <c r="E74" s="28" t="s">
        <v>29</v>
      </c>
      <c r="F74" s="218">
        <v>45627</v>
      </c>
      <c r="G74" s="28" t="s">
        <v>30</v>
      </c>
      <c r="H74" s="28" t="s">
        <v>31</v>
      </c>
      <c r="I74" s="203">
        <f>=M73</f>
        <v>45650</v>
      </c>
      <c r="J74" s="203">
        <f>=I74+L74</f>
        <v>45657</v>
      </c>
      <c r="K74" s="203">
        <f>=J74</f>
        <v>45657</v>
      </c>
      <c r="L74" s="219">
        <v>7</v>
      </c>
      <c r="M74" s="203">
        <v>45654</v>
      </c>
      <c r="N74" s="79">
        <f>=M74-I74</f>
        <v>4</v>
      </c>
      <c r="O74" s="28">
        <f>=IF(M74="",TODAY()-J74,M74-J74)</f>
        <v>-3</v>
      </c>
      <c r="P74" s="43" t="s">
        <f>=IF(O74&gt;0,"逾期","正常")</f>
        <v>32</v>
      </c>
      <c r="Q74" s="73" t="s"/>
      <c r="R74" s="103" t="s"/>
    </row>
    <row r="75" spans="1:18" s="880" customFormat="1">
      <c r="A75" s="214" t="s"/>
      <c r="B75" s="215" t="s"/>
      <c r="C75" s="216" t="s"/>
      <c r="D75" s="28" t="s">
        <v>33</v>
      </c>
      <c r="E75" s="28" t="s">
        <v>34</v>
      </c>
      <c r="F75" s="51">
        <f>=M73-F72</f>
        <v>68</v>
      </c>
      <c r="G75" s="69" t="s">
        <v>35</v>
      </c>
      <c r="H75" s="69" t="s">
        <v>115</v>
      </c>
      <c r="I75" s="218">
        <f>=M74</f>
        <v>45654</v>
      </c>
      <c r="J75" s="218">
        <f>=I75+L75</f>
        <v>45674</v>
      </c>
      <c r="K75" s="218">
        <f>=J75</f>
        <v>45674</v>
      </c>
      <c r="L75" s="220">
        <v>20</v>
      </c>
      <c r="M75" s="221">
        <v>46011</v>
      </c>
      <c r="N75" s="222">
        <f>=M75-I75</f>
        <v>357</v>
      </c>
      <c r="O75" s="28">
        <f>=IF(M75="",TODAY()-J75,M75-J75)</f>
        <v>337</v>
      </c>
      <c r="P75" s="43" t="s">
        <f>=IF(O75&gt;0,"逾期","正常")</f>
        <v>21</v>
      </c>
      <c r="Q75" s="73" t="s">
        <v>116</v>
      </c>
      <c r="R75" s="103" t="s"/>
    </row>
    <row r="76" spans="1:18" s="880" customFormat="1">
      <c r="A76" s="214" t="s"/>
      <c r="B76" s="223" t="s"/>
      <c r="C76" s="224" t="s"/>
      <c r="D76" s="109" t="s">
        <v>36</v>
      </c>
      <c r="E76" s="109" t="s">
        <v>37</v>
      </c>
      <c r="F76" s="225">
        <v>0</v>
      </c>
      <c r="G76" s="226" t="s">
        <v>38</v>
      </c>
      <c r="H76" s="113" t="s">
        <f>=D73</f>
        <v>57</v>
      </c>
      <c r="I76" s="112">
        <f>=M75</f>
        <v>46011</v>
      </c>
      <c r="J76" s="112">
        <f>=I76+L76</f>
        <v>46101</v>
      </c>
      <c r="K76" s="112">
        <f>=J76</f>
        <v>46101</v>
      </c>
      <c r="L76" s="113">
        <v>90</v>
      </c>
      <c r="M76" s="114" t="s"/>
      <c r="N76" s="115" t="s"/>
      <c r="O76" s="28">
        <f>=IF(M76="",TODAY()-J76,M76-J76)</f>
        <v>41</v>
      </c>
      <c r="P76" s="62" t="s">
        <f>=IF(O76&gt;0,"逾期","正常")</f>
        <v>21</v>
      </c>
      <c r="Q76" s="116" t="s"/>
      <c r="R76" s="117" t="s"/>
    </row>
    <row r="77" spans="1:18" s="880" customFormat="1">
      <c r="A77" s="209" t="s">
        <v>117</v>
      </c>
      <c r="B77" s="210" t="s">
        <v>15</v>
      </c>
      <c r="C77" s="84" t="s">
        <v>118</v>
      </c>
      <c r="D77" s="84" t="s">
        <v>17</v>
      </c>
      <c r="E77" s="84" t="s">
        <v>18</v>
      </c>
      <c r="F77" s="211">
        <v>45589</v>
      </c>
      <c r="G77" s="84" t="s">
        <v>19</v>
      </c>
      <c r="H77" s="84" t="s">
        <v>119</v>
      </c>
      <c r="I77" s="200">
        <f>=F77</f>
        <v>45589</v>
      </c>
      <c r="J77" s="200">
        <v>45604</v>
      </c>
      <c r="K77" s="66">
        <v>45599</v>
      </c>
      <c r="L77" s="84">
        <f>=J77-I77</f>
        <v>15</v>
      </c>
      <c r="M77" s="212">
        <v>45589</v>
      </c>
      <c r="N77" s="213">
        <f>=M77-I77</f>
        <v>0</v>
      </c>
      <c r="O77" s="26">
        <f>=IF(M77="",TODAY()-J77,M77-J77)</f>
        <v>-15</v>
      </c>
      <c r="P77" s="29" t="s">
        <f>=IF(O77&gt;0,"逾期","正常")</f>
        <v>32</v>
      </c>
      <c r="Q77" s="227" t="s"/>
      <c r="R77" s="97" t="s"/>
    </row>
    <row r="78" spans="1:18" s="880" customFormat="1">
      <c r="A78" s="214" t="s"/>
      <c r="B78" s="215" t="s"/>
      <c r="C78" s="216" t="s"/>
      <c r="D78" s="203" t="s">
        <v>57</v>
      </c>
      <c r="E78" s="28" t="s">
        <v>23</v>
      </c>
      <c r="F78" s="69">
        <f>=F79-F77</f>
        <v>30</v>
      </c>
      <c r="G78" s="28" t="s">
        <v>24</v>
      </c>
      <c r="H78" s="28" t="s">
        <v>50</v>
      </c>
      <c r="I78" s="203">
        <f>=M77</f>
        <v>45589</v>
      </c>
      <c r="J78" s="203">
        <f>=F79</f>
        <v>45619</v>
      </c>
      <c r="K78" s="203">
        <f>=J78</f>
        <v>45619</v>
      </c>
      <c r="L78" s="217">
        <f>=J78-I78</f>
        <v>30</v>
      </c>
      <c r="M78" s="203">
        <v>45596</v>
      </c>
      <c r="N78" s="79">
        <f>=M78-I78</f>
        <v>7</v>
      </c>
      <c r="O78" s="71">
        <f>=IF(M78="",TODAY()-J78,M78-J78)</f>
        <v>-23</v>
      </c>
      <c r="P78" s="43" t="s">
        <f>=IF(O78&gt;0,"逾期","正常")</f>
        <v>32</v>
      </c>
      <c r="Q78" s="73" t="s"/>
      <c r="R78" s="103" t="s"/>
    </row>
    <row r="79" spans="1:18" s="880" customFormat="1">
      <c r="A79" s="228" t="s"/>
      <c r="B79" s="215" t="s"/>
      <c r="C79" s="216" t="s"/>
      <c r="D79" s="28" t="s">
        <v>28</v>
      </c>
      <c r="E79" s="28" t="s">
        <v>29</v>
      </c>
      <c r="F79" s="218">
        <v>45619</v>
      </c>
      <c r="G79" s="28" t="s">
        <v>30</v>
      </c>
      <c r="H79" s="28" t="s">
        <v>31</v>
      </c>
      <c r="I79" s="203">
        <f>=M78</f>
        <v>45596</v>
      </c>
      <c r="J79" s="203">
        <f>=I79+7</f>
        <v>45603</v>
      </c>
      <c r="K79" s="203">
        <f>=J79</f>
        <v>45603</v>
      </c>
      <c r="L79" s="219">
        <f>=J79-I79</f>
        <v>7</v>
      </c>
      <c r="M79" s="229">
        <v>45590</v>
      </c>
      <c r="N79" s="79">
        <f>=M79-I79</f>
        <v>-6</v>
      </c>
      <c r="O79" s="71">
        <f>=IF(M79="",TODAY()-J79,M79-J79)</f>
        <v>-13</v>
      </c>
      <c r="P79" s="43" t="s">
        <f>=IF(O79&gt;0,"逾期","正常")</f>
        <v>32</v>
      </c>
      <c r="Q79" s="73" t="s"/>
      <c r="R79" s="103" t="s"/>
    </row>
    <row r="80" spans="1:18" s="880" customFormat="1">
      <c r="A80" s="214" t="s"/>
      <c r="B80" s="215" t="s"/>
      <c r="C80" s="216" t="s"/>
      <c r="D80" s="28" t="s">
        <v>51</v>
      </c>
      <c r="E80" s="28" t="s">
        <v>34</v>
      </c>
      <c r="F80" s="51">
        <f>=M78-F77</f>
        <v>7</v>
      </c>
      <c r="G80" s="28" t="s">
        <v>35</v>
      </c>
      <c r="H80" s="28" t="s">
        <v>120</v>
      </c>
      <c r="I80" s="203">
        <f>=M79</f>
        <v>45590</v>
      </c>
      <c r="J80" s="203">
        <f>=I80+L80</f>
        <v>45610</v>
      </c>
      <c r="K80" s="203">
        <f>=J80</f>
        <v>45610</v>
      </c>
      <c r="L80" s="219">
        <v>20</v>
      </c>
      <c r="M80" s="206">
        <v>45661</v>
      </c>
      <c r="N80" s="79">
        <f>=M80-I80</f>
        <v>71</v>
      </c>
      <c r="O80" s="71">
        <f>=IF(M80="",TODAY()-J80,M80-J80)</f>
        <v>51</v>
      </c>
      <c r="P80" s="43" t="s">
        <f>=IF(O80&gt;0,"逾期","正常")</f>
        <v>21</v>
      </c>
      <c r="Q80" s="73" t="s">
        <v>121</v>
      </c>
      <c r="R80" s="103" t="s">
        <v>122</v>
      </c>
    </row>
    <row r="81" spans="1:18" s="880" customFormat="1">
      <c r="A81" s="214" t="s"/>
      <c r="B81" s="223" t="s"/>
      <c r="C81" s="224" t="s"/>
      <c r="D81" s="109" t="s">
        <v>36</v>
      </c>
      <c r="E81" s="109" t="s">
        <v>37</v>
      </c>
      <c r="F81" s="225">
        <v>0</v>
      </c>
      <c r="G81" s="226" t="s">
        <v>38</v>
      </c>
      <c r="H81" s="113" t="s">
        <f>=D78</f>
        <v>57</v>
      </c>
      <c r="I81" s="112">
        <f>=M80</f>
        <v>45661</v>
      </c>
      <c r="J81" s="112">
        <f>=I81+L81</f>
        <v>45751</v>
      </c>
      <c r="K81" s="112">
        <f>=J81</f>
        <v>45751</v>
      </c>
      <c r="L81" s="113">
        <v>90</v>
      </c>
      <c r="M81" s="114" t="s"/>
      <c r="N81" s="115" t="s"/>
      <c r="O81" s="28">
        <f>=IF(M81="",TODAY()-J81,M81-J81)</f>
        <v>391</v>
      </c>
      <c r="P81" s="62" t="s">
        <f>=IF(O81&gt;0,"逾期","正常")</f>
        <v>21</v>
      </c>
      <c r="Q81" s="116" t="s"/>
      <c r="R81" s="117" t="s"/>
    </row>
    <row r="82" spans="1:18" s="880" customFormat="1">
      <c r="A82" s="209" t="s">
        <v>123</v>
      </c>
      <c r="B82" s="210" t="s">
        <v>32</v>
      </c>
      <c r="C82" s="84" t="s">
        <v>89</v>
      </c>
      <c r="D82" s="84" t="s">
        <v>17</v>
      </c>
      <c r="E82" s="84" t="s">
        <v>18</v>
      </c>
      <c r="F82" s="211">
        <v>45593</v>
      </c>
      <c r="G82" s="84" t="s">
        <v>19</v>
      </c>
      <c r="H82" s="84" t="s">
        <v>20</v>
      </c>
      <c r="I82" s="200">
        <f>=F82</f>
        <v>45593</v>
      </c>
      <c r="J82" s="200">
        <v>45608</v>
      </c>
      <c r="K82" s="66">
        <v>45603</v>
      </c>
      <c r="L82" s="84">
        <f>=J82-I82</f>
        <v>15</v>
      </c>
      <c r="M82" s="212">
        <v>45607</v>
      </c>
      <c r="N82" s="213">
        <f>=M82-I82</f>
        <v>14</v>
      </c>
      <c r="O82" s="26">
        <f>=IF(M82="",TODAY()-J82,M82-J82)</f>
        <v>-1</v>
      </c>
      <c r="P82" s="29" t="s">
        <f>=IF(O82&gt;0,"逾期","正常")</f>
        <v>32</v>
      </c>
      <c r="Q82" s="227" t="s"/>
      <c r="R82" s="97" t="s"/>
    </row>
    <row r="83" spans="1:18" s="880" customFormat="1">
      <c r="A83" s="230" t="s"/>
      <c r="B83" s="215" t="s"/>
      <c r="C83" s="216" t="s"/>
      <c r="D83" s="203" t="s">
        <v>57</v>
      </c>
      <c r="E83" s="28" t="s">
        <v>23</v>
      </c>
      <c r="F83" s="69">
        <f>=F84-F82</f>
        <v>30</v>
      </c>
      <c r="G83" s="28" t="s">
        <v>24</v>
      </c>
      <c r="H83" s="28" t="s">
        <v>50</v>
      </c>
      <c r="I83" s="203">
        <f>=M82</f>
        <v>45607</v>
      </c>
      <c r="J83" s="203">
        <f>=F84</f>
        <v>45623</v>
      </c>
      <c r="K83" s="203">
        <f>=J83</f>
        <v>45623</v>
      </c>
      <c r="L83" s="217">
        <f>=J83-I83</f>
        <v>16</v>
      </c>
      <c r="M83" s="203">
        <v>45624</v>
      </c>
      <c r="N83" s="79">
        <f>=M83-I83</f>
        <v>17</v>
      </c>
      <c r="O83" s="71">
        <f>=IF(M83="",TODAY()-J83,M83-J83)</f>
        <v>1</v>
      </c>
      <c r="P83" s="43" t="s">
        <f>=IF(O83&gt;0,"逾期","正常")</f>
        <v>21</v>
      </c>
      <c r="Q83" s="73" t="s"/>
      <c r="R83" s="103" t="s"/>
    </row>
    <row r="84" spans="1:18" s="880" customFormat="1">
      <c r="A84" s="214" t="s"/>
      <c r="B84" s="215" t="s"/>
      <c r="C84" s="216" t="s"/>
      <c r="D84" s="28" t="s">
        <v>28</v>
      </c>
      <c r="E84" s="28" t="s">
        <v>29</v>
      </c>
      <c r="F84" s="218">
        <v>45623</v>
      </c>
      <c r="G84" s="28" t="s">
        <v>30</v>
      </c>
      <c r="H84" s="28" t="s">
        <v>31</v>
      </c>
      <c r="I84" s="203">
        <f>=M83</f>
        <v>45624</v>
      </c>
      <c r="J84" s="203">
        <f>=I84+7</f>
        <v>45631</v>
      </c>
      <c r="K84" s="203">
        <f>=J84</f>
        <v>45631</v>
      </c>
      <c r="L84" s="219">
        <f>=J84-I84</f>
        <v>7</v>
      </c>
      <c r="M84" s="229">
        <v>45624</v>
      </c>
      <c r="N84" s="79">
        <f>=M84-I84</f>
        <v>0</v>
      </c>
      <c r="O84" s="71">
        <f>=IF(M84="",TODAY()-J84,M84-J84)</f>
        <v>-7</v>
      </c>
      <c r="P84" s="43" t="s">
        <f>=IF(O84&gt;0,"逾期","正常")</f>
        <v>32</v>
      </c>
      <c r="Q84" s="73" t="s"/>
      <c r="R84" s="103" t="s"/>
    </row>
    <row r="85" spans="1:18" s="880" customFormat="1">
      <c r="A85" s="214" t="s"/>
      <c r="B85" s="215" t="s"/>
      <c r="C85" s="216" t="s"/>
      <c r="D85" s="28" t="s">
        <v>51</v>
      </c>
      <c r="E85" s="28" t="s">
        <v>34</v>
      </c>
      <c r="F85" s="51">
        <f>=M83-F82</f>
        <v>31</v>
      </c>
      <c r="G85" s="28" t="s">
        <v>35</v>
      </c>
      <c r="H85" s="28" t="s">
        <v>124</v>
      </c>
      <c r="I85" s="203">
        <v>45624</v>
      </c>
      <c r="J85" s="203">
        <v>45626</v>
      </c>
      <c r="K85" s="203">
        <v>45626</v>
      </c>
      <c r="L85" s="219">
        <v>3</v>
      </c>
      <c r="M85" s="206">
        <v>45626</v>
      </c>
      <c r="N85" s="28">
        <f>=M85-I85</f>
        <v>2</v>
      </c>
      <c r="O85" s="71">
        <f>=IF(M85="",TODAY()-J85,M85-J85)</f>
        <v>0</v>
      </c>
      <c r="P85" s="43" t="s">
        <f>=IF(O85&gt;0,"逾期","正常")</f>
        <v>32</v>
      </c>
      <c r="Q85" s="73" t="s"/>
      <c r="R85" s="103" t="s"/>
    </row>
    <row r="86" spans="1:18" s="880" customFormat="1">
      <c r="A86" s="214" t="s"/>
      <c r="B86" s="223" t="s"/>
      <c r="C86" s="224" t="s"/>
      <c r="D86" s="109" t="s">
        <v>36</v>
      </c>
      <c r="E86" s="109" t="s">
        <v>37</v>
      </c>
      <c r="F86" s="231">
        <v>0.9</v>
      </c>
      <c r="G86" s="226" t="s">
        <v>38</v>
      </c>
      <c r="H86" s="113" t="s">
        <f>=D83</f>
        <v>57</v>
      </c>
      <c r="I86" s="112">
        <f>=M85</f>
        <v>45626</v>
      </c>
      <c r="J86" s="112">
        <f>=I86+L86</f>
        <v>45716</v>
      </c>
      <c r="K86" s="112">
        <f>=J86+M86</f>
        <v>45716</v>
      </c>
      <c r="L86" s="113">
        <v>90</v>
      </c>
      <c r="M86" s="114" t="s"/>
      <c r="N86" s="115" t="s"/>
      <c r="O86" s="71">
        <f>=IF(M86="",TODAY()-J86,M86-J86)</f>
        <v>434</v>
      </c>
      <c r="P86" s="43" t="s">
        <f>=IF(O86&gt;0,"逾期","正常")</f>
        <v>21</v>
      </c>
      <c r="Q86" s="116" t="s"/>
      <c r="R86" s="117" t="s"/>
    </row>
    <row r="87" spans="1:18" s="880" customFormat="1">
      <c r="A87" s="209" t="s">
        <v>125</v>
      </c>
      <c r="B87" s="210" t="s">
        <v>32</v>
      </c>
      <c r="C87" s="84" t="s">
        <v>108</v>
      </c>
      <c r="D87" s="84" t="s">
        <v>17</v>
      </c>
      <c r="E87" s="84" t="s">
        <v>18</v>
      </c>
      <c r="F87" s="211">
        <v>45601</v>
      </c>
      <c r="G87" s="84" t="s">
        <v>19</v>
      </c>
      <c r="H87" s="84" t="s">
        <v>41</v>
      </c>
      <c r="I87" s="200">
        <f>=F87</f>
        <v>45601</v>
      </c>
      <c r="J87" s="200">
        <v>45616</v>
      </c>
      <c r="K87" s="66">
        <v>45611</v>
      </c>
      <c r="L87" s="84">
        <f>=J87-I87</f>
        <v>15</v>
      </c>
      <c r="M87" s="212">
        <v>45611</v>
      </c>
      <c r="N87" s="213">
        <f>=M87-I87</f>
        <v>10</v>
      </c>
      <c r="O87" s="26">
        <f>=IF(M87="",TODAY()-J87,M87-J87)</f>
        <v>-5</v>
      </c>
      <c r="P87" s="29" t="s">
        <f>=IF(O87&gt;0,"逾期","正常")</f>
        <v>32</v>
      </c>
      <c r="Q87" s="227" t="s"/>
      <c r="R87" s="97" t="s"/>
    </row>
    <row r="88" spans="1:18" s="880" customFormat="1">
      <c r="A88" s="214" t="s"/>
      <c r="B88" s="232" t="s"/>
      <c r="C88" s="216" t="s"/>
      <c r="D88" s="203" t="s">
        <v>22</v>
      </c>
      <c r="E88" s="28" t="s">
        <v>23</v>
      </c>
      <c r="F88" s="69">
        <f>=F89-F87</f>
        <v>30</v>
      </c>
      <c r="G88" s="28" t="s">
        <v>24</v>
      </c>
      <c r="H88" s="28" t="s">
        <v>50</v>
      </c>
      <c r="I88" s="203">
        <f>=M87</f>
        <v>45611</v>
      </c>
      <c r="J88" s="203">
        <f>=F89</f>
        <v>45631</v>
      </c>
      <c r="K88" s="203">
        <f>=J88</f>
        <v>45631</v>
      </c>
      <c r="L88" s="217">
        <f>=J88-I88</f>
        <v>20</v>
      </c>
      <c r="M88" s="203">
        <v>45622</v>
      </c>
      <c r="N88" s="79">
        <f>=M88-I88</f>
        <v>11</v>
      </c>
      <c r="O88" s="71">
        <f>=IF(M88="",TODAY()-J88,M88-J88)</f>
        <v>-9</v>
      </c>
      <c r="P88" s="43" t="s">
        <f>=IF(O88&gt;0,"逾期","正常")</f>
        <v>32</v>
      </c>
      <c r="Q88" s="73" t="s"/>
      <c r="R88" s="103" t="s"/>
    </row>
    <row r="89" spans="1:18" s="880" customFormat="1">
      <c r="A89" s="230" t="s"/>
      <c r="B89" s="232" t="s"/>
      <c r="C89" s="216" t="s"/>
      <c r="D89" s="28" t="s">
        <v>28</v>
      </c>
      <c r="E89" s="28" t="s">
        <v>29</v>
      </c>
      <c r="F89" s="218">
        <v>45631</v>
      </c>
      <c r="G89" s="28" t="s">
        <v>30</v>
      </c>
      <c r="H89" s="28" t="s">
        <v>31</v>
      </c>
      <c r="I89" s="203">
        <f>=M88</f>
        <v>45622</v>
      </c>
      <c r="J89" s="203">
        <f>=I89+7</f>
        <v>45629</v>
      </c>
      <c r="K89" s="203">
        <f>=J89</f>
        <v>45629</v>
      </c>
      <c r="L89" s="219">
        <f>=J89-I89</f>
        <v>7</v>
      </c>
      <c r="M89" s="229">
        <v>45643</v>
      </c>
      <c r="N89" s="79">
        <f>=M89-I89</f>
        <v>21</v>
      </c>
      <c r="O89" s="71">
        <f>=IF(M89="",TODAY()-J89,M89-J89)</f>
        <v>14</v>
      </c>
      <c r="P89" s="43" t="s">
        <f>=IF(O89&gt;0,"逾期","正常")</f>
        <v>21</v>
      </c>
      <c r="Q89" s="73" t="s">
        <v>90</v>
      </c>
      <c r="R89" s="103" t="s"/>
    </row>
    <row r="90" spans="1:18" s="880" customFormat="1">
      <c r="A90" s="214" t="s"/>
      <c r="B90" s="232" t="s"/>
      <c r="C90" s="216" t="s"/>
      <c r="D90" s="28" t="s">
        <v>46</v>
      </c>
      <c r="E90" s="28" t="s">
        <v>34</v>
      </c>
      <c r="F90" s="51">
        <f>=M88-F87</f>
        <v>21</v>
      </c>
      <c r="G90" s="28" t="s">
        <v>35</v>
      </c>
      <c r="H90" s="28" t="s">
        <v>58</v>
      </c>
      <c r="I90" s="203">
        <f>=M89</f>
        <v>45643</v>
      </c>
      <c r="J90" s="203">
        <f>=I90+L90</f>
        <v>45653</v>
      </c>
      <c r="K90" s="203">
        <f>=J90</f>
        <v>45653</v>
      </c>
      <c r="L90" s="219">
        <v>10</v>
      </c>
      <c r="M90" s="206">
        <v>45653</v>
      </c>
      <c r="N90" s="79">
        <f>=M90-I90</f>
        <v>10</v>
      </c>
      <c r="O90" s="71">
        <f>=IF(M90="",TODAY()-J90,M90-J90)</f>
        <v>0</v>
      </c>
      <c r="P90" s="43" t="s">
        <f>=IF(O90&gt;0,"逾期","正常")</f>
        <v>32</v>
      </c>
      <c r="Q90" s="73" t="s"/>
      <c r="R90" s="103" t="s"/>
    </row>
    <row r="91" spans="1:18" s="880" customFormat="1">
      <c r="A91" s="214" t="s"/>
      <c r="B91" s="233" t="s"/>
      <c r="C91" s="224" t="s"/>
      <c r="D91" s="109" t="s">
        <v>36</v>
      </c>
      <c r="E91" s="109" t="s">
        <v>37</v>
      </c>
      <c r="F91" s="231">
        <v>0.9548</v>
      </c>
      <c r="G91" s="234" t="s">
        <v>38</v>
      </c>
      <c r="H91" s="235" t="s">
        <f>=D88</f>
        <v>22</v>
      </c>
      <c r="I91" s="236">
        <f>=M90</f>
        <v>45653</v>
      </c>
      <c r="J91" s="236">
        <f>=I91+L91</f>
        <v>45743</v>
      </c>
      <c r="K91" s="236">
        <f>=J91</f>
        <v>45743</v>
      </c>
      <c r="L91" s="235">
        <v>90</v>
      </c>
      <c r="M91" s="237" t="s"/>
      <c r="N91" s="115" t="s"/>
      <c r="O91" s="71">
        <f>=IF(M91="",TODAY()-J91,M91-J91)</f>
        <v>399</v>
      </c>
      <c r="P91" s="62" t="s">
        <f>=IF(O91&gt;0,"逾期","正常")</f>
        <v>21</v>
      </c>
      <c r="Q91" s="116" t="s"/>
      <c r="R91" s="117" t="s"/>
    </row>
    <row r="92" spans="1:18" s="880" customFormat="1">
      <c r="A92" s="209" t="s">
        <v>126</v>
      </c>
      <c r="B92" s="238" t="s">
        <v>15</v>
      </c>
      <c r="C92" s="84" t="s">
        <v>127</v>
      </c>
      <c r="D92" s="84" t="s">
        <v>17</v>
      </c>
      <c r="E92" s="84" t="s">
        <v>18</v>
      </c>
      <c r="F92" s="211">
        <v>45602</v>
      </c>
      <c r="G92" s="84" t="s">
        <v>19</v>
      </c>
      <c r="H92" s="84" t="s">
        <v>49</v>
      </c>
      <c r="I92" s="200">
        <f>=F92</f>
        <v>45602</v>
      </c>
      <c r="J92" s="200">
        <v>45612</v>
      </c>
      <c r="K92" s="66">
        <v>45610</v>
      </c>
      <c r="L92" s="84">
        <f>=J92-I92</f>
        <v>10</v>
      </c>
      <c r="M92" s="212">
        <v>45609</v>
      </c>
      <c r="N92" s="213">
        <f>=M92-I92</f>
        <v>7</v>
      </c>
      <c r="O92" s="26">
        <f>=IF(M92="",TODAY()-J92,M92-J92)</f>
        <v>-3</v>
      </c>
      <c r="P92" s="29" t="s">
        <f>=IF(O92&gt;0,"逾期","正常")</f>
        <v>32</v>
      </c>
      <c r="Q92" s="227" t="s"/>
      <c r="R92" s="97" t="s"/>
    </row>
    <row r="93" spans="1:18" s="880" customFormat="1">
      <c r="A93" s="214" t="s"/>
      <c r="B93" s="239" t="s"/>
      <c r="C93" s="216" t="s"/>
      <c r="D93" s="70" t="s">
        <v>42</v>
      </c>
      <c r="E93" s="28" t="s">
        <v>23</v>
      </c>
      <c r="F93" s="69">
        <f>=F94-F92</f>
        <v>35</v>
      </c>
      <c r="G93" s="28" t="s">
        <v>24</v>
      </c>
      <c r="H93" s="28" t="s">
        <v>50</v>
      </c>
      <c r="I93" s="203">
        <f>=M92</f>
        <v>45609</v>
      </c>
      <c r="J93" s="203">
        <f>=F94</f>
        <v>45637</v>
      </c>
      <c r="K93" s="203">
        <f>=J93</f>
        <v>45637</v>
      </c>
      <c r="L93" s="217">
        <f>=J93-I93</f>
        <v>28</v>
      </c>
      <c r="M93" s="203">
        <v>45628</v>
      </c>
      <c r="N93" s="79">
        <f>=M93-I93</f>
        <v>19</v>
      </c>
      <c r="O93" s="71">
        <f>=IF(M93="",TODAY()-J93,M93-J93)</f>
        <v>-9</v>
      </c>
      <c r="P93" s="43" t="s">
        <f>=IF(O93&gt;0,"逾期","正常")</f>
        <v>32</v>
      </c>
      <c r="Q93" s="73" t="s"/>
      <c r="R93" s="103" t="s"/>
    </row>
    <row r="94" spans="1:18" s="880" customFormat="1">
      <c r="A94" s="230" t="s"/>
      <c r="B94" s="239" t="s"/>
      <c r="C94" s="216" t="s"/>
      <c r="D94" s="240" t="s">
        <v>28</v>
      </c>
      <c r="E94" s="241" t="s">
        <v>29</v>
      </c>
      <c r="F94" s="242">
        <v>45637</v>
      </c>
      <c r="G94" s="241" t="s">
        <v>30</v>
      </c>
      <c r="H94" s="241" t="s">
        <v>31</v>
      </c>
      <c r="I94" s="243">
        <f>=M93</f>
        <v>45628</v>
      </c>
      <c r="J94" s="243">
        <f>=I94+7</f>
        <v>45635</v>
      </c>
      <c r="K94" s="243">
        <f>=J94</f>
        <v>45635</v>
      </c>
      <c r="L94" s="244">
        <f>=J94-I94</f>
        <v>7</v>
      </c>
      <c r="M94" s="245">
        <v>45635</v>
      </c>
      <c r="N94" s="246">
        <f>=M94-I94</f>
        <v>7</v>
      </c>
      <c r="O94" s="247">
        <f>=IF(M94="",TODAY()-J94,M94-J94)</f>
        <v>0</v>
      </c>
      <c r="P94" s="248" t="s">
        <f>=IF(O94&gt;0,"逾期","正常")</f>
        <v>32</v>
      </c>
      <c r="Q94" s="249" t="s"/>
      <c r="R94" s="250" t="s"/>
    </row>
    <row r="95" spans="1:18" s="880" customFormat="1">
      <c r="A95" s="214" t="s"/>
      <c r="B95" s="239" t="s"/>
      <c r="C95" s="216" t="s"/>
      <c r="D95" s="28" t="s">
        <v>33</v>
      </c>
      <c r="E95" s="28" t="s">
        <v>34</v>
      </c>
      <c r="F95" s="51">
        <f>=M93-F92</f>
        <v>26</v>
      </c>
      <c r="G95" s="28" t="s">
        <v>35</v>
      </c>
      <c r="H95" s="28" t="s">
        <v>128</v>
      </c>
      <c r="I95" s="203">
        <f>=M94</f>
        <v>45635</v>
      </c>
      <c r="J95" s="203">
        <f>=I95+L95</f>
        <v>45638</v>
      </c>
      <c r="K95" s="203">
        <f>=J95</f>
        <v>45638</v>
      </c>
      <c r="L95" s="219">
        <v>3</v>
      </c>
      <c r="M95" s="206">
        <v>45640</v>
      </c>
      <c r="N95" s="79">
        <f>=M95-I95</f>
        <v>5</v>
      </c>
      <c r="O95" s="71">
        <f>=IF(M95="",TODAY()-J95,M95-J95)</f>
        <v>2</v>
      </c>
      <c r="P95" s="43" t="s">
        <f>=IF(O95&gt;0,"逾期","正常")</f>
        <v>21</v>
      </c>
      <c r="Q95" s="73" t="s">
        <v>129</v>
      </c>
      <c r="R95" s="103" t="s"/>
    </row>
    <row r="96" spans="1:18" s="880" customFormat="1">
      <c r="A96" s="214" t="s"/>
      <c r="B96" s="251" t="s"/>
      <c r="C96" s="224" t="s"/>
      <c r="D96" s="109" t="s">
        <v>36</v>
      </c>
      <c r="E96" s="109" t="s">
        <v>37</v>
      </c>
      <c r="F96" s="225">
        <v>0.9</v>
      </c>
      <c r="G96" s="226" t="s">
        <v>38</v>
      </c>
      <c r="H96" s="82" t="s">
        <v>42</v>
      </c>
      <c r="I96" s="112">
        <f>=M95</f>
        <v>45640</v>
      </c>
      <c r="J96" s="112">
        <f>=I96+L96</f>
        <v>45730</v>
      </c>
      <c r="K96" s="112">
        <f>=J96</f>
        <v>45730</v>
      </c>
      <c r="L96" s="113">
        <v>90</v>
      </c>
      <c r="M96" s="114" t="s"/>
      <c r="N96" s="115" t="s"/>
      <c r="O96" s="71">
        <f>=IF(M96="",TODAY()-J96,M96-J96)</f>
        <v>412</v>
      </c>
      <c r="P96" s="62" t="s">
        <f>=IF(O96&gt;0,"逾期","正常")</f>
        <v>21</v>
      </c>
      <c r="Q96" s="116" t="s">
        <v>130</v>
      </c>
      <c r="R96" s="117" t="s"/>
    </row>
    <row r="97" spans="1:18" s="880" customFormat="1">
      <c r="A97" s="209" t="s">
        <v>131</v>
      </c>
      <c r="B97" s="210" t="s">
        <v>15</v>
      </c>
      <c r="C97" s="84" t="s">
        <v>132</v>
      </c>
      <c r="D97" s="84" t="s">
        <v>17</v>
      </c>
      <c r="E97" s="84" t="s">
        <v>18</v>
      </c>
      <c r="F97" s="211">
        <v>45621</v>
      </c>
      <c r="G97" s="84" t="s">
        <v>19</v>
      </c>
      <c r="H97" s="84" t="s">
        <v>49</v>
      </c>
      <c r="I97" s="200">
        <f>=F97</f>
        <v>45621</v>
      </c>
      <c r="J97" s="200">
        <v>45629</v>
      </c>
      <c r="K97" s="66">
        <v>45629</v>
      </c>
      <c r="L97" s="84">
        <f>=J97-I97</f>
        <v>8</v>
      </c>
      <c r="M97" s="252">
        <v>45625</v>
      </c>
      <c r="N97" s="213">
        <f>=M97-I97</f>
        <v>4</v>
      </c>
      <c r="O97" s="26">
        <f>=IF(M97="",TODAY()-J97,M97-J97)</f>
        <v>-4</v>
      </c>
      <c r="P97" s="29" t="s">
        <f>=IF(O97&gt;0,"逾期","正常")</f>
        <v>32</v>
      </c>
      <c r="Q97" s="227" t="s"/>
      <c r="R97" s="97" t="s"/>
    </row>
    <row r="98" spans="1:18" s="880" customFormat="1">
      <c r="A98" s="214" t="s"/>
      <c r="B98" s="253" t="s"/>
      <c r="C98" s="216" t="s"/>
      <c r="D98" s="203" t="s">
        <v>42</v>
      </c>
      <c r="E98" s="28" t="s">
        <v>23</v>
      </c>
      <c r="F98" s="69">
        <f>=F99-F97</f>
        <v>30</v>
      </c>
      <c r="G98" s="28" t="s">
        <v>24</v>
      </c>
      <c r="H98" s="28" t="s">
        <v>25</v>
      </c>
      <c r="I98" s="203">
        <f>=M97</f>
        <v>45625</v>
      </c>
      <c r="J98" s="203">
        <f>=F99</f>
        <v>45651</v>
      </c>
      <c r="K98" s="203">
        <f>=J98</f>
        <v>45651</v>
      </c>
      <c r="L98" s="219">
        <f>=J98-I98</f>
        <v>26</v>
      </c>
      <c r="M98" s="206">
        <v>45628</v>
      </c>
      <c r="N98" s="79">
        <f>=M98-I98</f>
        <v>3</v>
      </c>
      <c r="O98" s="71">
        <f>=IF(M98="",TODAY()-J98,M98-J98)</f>
        <v>-23</v>
      </c>
      <c r="P98" s="43" t="s">
        <f>=IF(O98&gt;0,"逾期","正常")</f>
        <v>32</v>
      </c>
      <c r="Q98" s="73" t="s"/>
      <c r="R98" s="103" t="s"/>
    </row>
    <row r="99" spans="1:18" s="880" customFormat="1">
      <c r="A99" s="214" t="s"/>
      <c r="B99" s="253" t="s"/>
      <c r="C99" s="216" t="s"/>
      <c r="D99" s="28" t="s">
        <v>28</v>
      </c>
      <c r="E99" s="28" t="s">
        <v>29</v>
      </c>
      <c r="F99" s="218">
        <v>45651</v>
      </c>
      <c r="G99" s="28" t="s">
        <v>30</v>
      </c>
      <c r="H99" s="28" t="s">
        <v>31</v>
      </c>
      <c r="I99" s="203">
        <f>=M98</f>
        <v>45628</v>
      </c>
      <c r="J99" s="203">
        <f>=I99+L99</f>
        <v>45635</v>
      </c>
      <c r="K99" s="203">
        <f>=J99</f>
        <v>45635</v>
      </c>
      <c r="L99" s="219">
        <v>7</v>
      </c>
      <c r="M99" s="206">
        <v>45628</v>
      </c>
      <c r="N99" s="79">
        <f>=M99-I99</f>
        <v>0</v>
      </c>
      <c r="O99" s="71">
        <f>=IF(M99="",TODAY()-J99,M99-J99)</f>
        <v>-7</v>
      </c>
      <c r="P99" s="43" t="s">
        <f>=IF(O99&gt;0,"逾期","正常")</f>
        <v>32</v>
      </c>
      <c r="Q99" s="73" t="s"/>
      <c r="R99" s="103" t="s"/>
    </row>
    <row r="100" spans="1:18" s="880" customFormat="1">
      <c r="A100" s="214" t="s"/>
      <c r="B100" s="253" t="s"/>
      <c r="C100" s="216" t="s"/>
      <c r="D100" s="28" t="s">
        <v>33</v>
      </c>
      <c r="E100" s="28" t="s">
        <v>34</v>
      </c>
      <c r="F100" s="51">
        <f>=IF(M98="",TODAY()-F97,M98-F97)</f>
        <v>7</v>
      </c>
      <c r="G100" s="226" t="s">
        <v>35</v>
      </c>
      <c r="H100" s="226" t="s">
        <v>91</v>
      </c>
      <c r="I100" s="254">
        <f>=M99</f>
        <v>45628</v>
      </c>
      <c r="J100" s="254">
        <f>=I100+L100</f>
        <v>45636</v>
      </c>
      <c r="K100" s="254">
        <f>=J100</f>
        <v>45636</v>
      </c>
      <c r="L100" s="255">
        <v>8</v>
      </c>
      <c r="M100" s="256" t="s"/>
      <c r="N100" s="42" t="s"/>
      <c r="O100" s="71">
        <f>=IF(M100="",TODAY()-J100,M100-J100)</f>
        <v>506</v>
      </c>
      <c r="P100" s="43" t="s">
        <f>=IF(O100&gt;0,"逾期","正常")</f>
        <v>21</v>
      </c>
      <c r="Q100" s="73" t="s">
        <v>133</v>
      </c>
      <c r="R100" s="103" t="s">
        <v>134</v>
      </c>
    </row>
    <row r="101" spans="1:18" s="880" customFormat="1">
      <c r="A101" s="214" t="s"/>
      <c r="B101" s="257" t="s"/>
      <c r="C101" s="224" t="s"/>
      <c r="D101" s="109" t="s">
        <v>36</v>
      </c>
      <c r="E101" s="109" t="s">
        <v>37</v>
      </c>
      <c r="F101" s="225">
        <v>0.2419</v>
      </c>
      <c r="G101" s="28" t="s">
        <v>38</v>
      </c>
      <c r="H101" s="109" t="s">
        <f>=D98</f>
        <v>42</v>
      </c>
      <c r="I101" s="258" t="s"/>
      <c r="J101" s="258" t="s"/>
      <c r="K101" s="258" t="s"/>
      <c r="L101" s="109">
        <v>90</v>
      </c>
      <c r="M101" s="259" t="s"/>
      <c r="N101" s="115" t="s"/>
      <c r="O101" s="71" t="s"/>
      <c r="P101" s="62" t="s">
        <f>=IF(O101&gt;0,"逾期","正常")</f>
        <v>32</v>
      </c>
      <c r="Q101" s="116" t="s"/>
      <c r="R101" s="117" t="s"/>
    </row>
    <row r="102" spans="1:18" s="880" customFormat="1">
      <c r="A102" s="260" t="s">
        <v>135</v>
      </c>
      <c r="B102" s="210" t="s">
        <v>32</v>
      </c>
      <c r="C102" s="84" t="s">
        <v>136</v>
      </c>
      <c r="D102" s="84" t="s">
        <v>17</v>
      </c>
      <c r="E102" s="84" t="s">
        <v>18</v>
      </c>
      <c r="F102" s="211">
        <v>45611</v>
      </c>
      <c r="G102" s="84" t="s">
        <v>19</v>
      </c>
      <c r="H102" s="84" t="s">
        <v>41</v>
      </c>
      <c r="I102" s="200">
        <f>=F102</f>
        <v>45611</v>
      </c>
      <c r="J102" s="200">
        <v>45631</v>
      </c>
      <c r="K102" s="66">
        <v>45626</v>
      </c>
      <c r="L102" s="84">
        <f>=J102-I102</f>
        <v>20</v>
      </c>
      <c r="M102" s="252">
        <v>45628</v>
      </c>
      <c r="N102" s="213">
        <f>=M102-I102</f>
        <v>17</v>
      </c>
      <c r="O102" s="26">
        <f>=IF(M102="",TODAY()-J102,M102-J102)</f>
        <v>-3</v>
      </c>
      <c r="P102" s="29" t="s">
        <f>=IF(O102&gt;0,"逾期","正常")</f>
        <v>32</v>
      </c>
      <c r="Q102" s="227" t="s"/>
      <c r="R102" s="97" t="s"/>
    </row>
    <row r="103" spans="1:18" s="880" customFormat="1">
      <c r="A103" s="214" t="s"/>
      <c r="B103" s="253" t="s"/>
      <c r="C103" s="216" t="s"/>
      <c r="D103" s="203" t="s">
        <v>65</v>
      </c>
      <c r="E103" s="28" t="s">
        <v>23</v>
      </c>
      <c r="F103" s="69">
        <f>=F104-F102</f>
        <v>45</v>
      </c>
      <c r="G103" s="28" t="s">
        <v>24</v>
      </c>
      <c r="H103" s="28" t="s">
        <v>50</v>
      </c>
      <c r="I103" s="203">
        <f>=M102</f>
        <v>45628</v>
      </c>
      <c r="J103" s="203">
        <f>=F104</f>
        <v>45656</v>
      </c>
      <c r="K103" s="203">
        <f>=J103</f>
        <v>45656</v>
      </c>
      <c r="L103" s="219">
        <f>=J103-I103</f>
        <v>28</v>
      </c>
      <c r="M103" s="206">
        <v>45656</v>
      </c>
      <c r="N103" s="79">
        <f>=M103-I103</f>
        <v>28</v>
      </c>
      <c r="O103" s="71">
        <f>=IF(M103="",TODAY()-J103,M103-J103)</f>
        <v>0</v>
      </c>
      <c r="P103" s="43" t="s">
        <f>=IF(O103&gt;0,"逾期","正常")</f>
        <v>32</v>
      </c>
      <c r="Q103" s="73" t="s"/>
      <c r="R103" s="103" t="s"/>
    </row>
    <row r="104" spans="1:18" s="880" customFormat="1">
      <c r="A104" s="214" t="s"/>
      <c r="B104" s="253" t="s"/>
      <c r="C104" s="216" t="s"/>
      <c r="D104" s="28" t="s">
        <v>28</v>
      </c>
      <c r="E104" s="28" t="s">
        <v>29</v>
      </c>
      <c r="F104" s="218">
        <v>45656</v>
      </c>
      <c r="G104" s="28" t="s">
        <v>30</v>
      </c>
      <c r="H104" s="28" t="s">
        <v>31</v>
      </c>
      <c r="I104" s="203">
        <f>=M103</f>
        <v>45656</v>
      </c>
      <c r="J104" s="203">
        <f>=I104+7</f>
        <v>45663</v>
      </c>
      <c r="K104" s="203">
        <f>=J104</f>
        <v>45663</v>
      </c>
      <c r="L104" s="219">
        <f>=J104-I104</f>
        <v>7</v>
      </c>
      <c r="M104" s="206">
        <v>45670</v>
      </c>
      <c r="N104" s="79">
        <f>=M104-I104</f>
        <v>14</v>
      </c>
      <c r="O104" s="71">
        <f>=IF(M104="",TODAY()-J104,M104-J104)</f>
        <v>7</v>
      </c>
      <c r="P104" s="43" t="s">
        <f>=IF(O104&gt;0,"逾期","正常")</f>
        <v>21</v>
      </c>
      <c r="Q104" s="73" t="s">
        <v>137</v>
      </c>
      <c r="R104" s="103" t="s"/>
    </row>
    <row r="105" spans="1:18" s="880" customFormat="1">
      <c r="A105" s="214" t="s"/>
      <c r="B105" s="253" t="s"/>
      <c r="C105" s="216" t="s"/>
      <c r="D105" s="28" t="s">
        <v>51</v>
      </c>
      <c r="E105" s="28" t="s">
        <v>34</v>
      </c>
      <c r="F105" s="51">
        <f>=IF(M103="",TODAY()-F102,M103-F102)</f>
        <v>45</v>
      </c>
      <c r="G105" s="69" t="s">
        <v>35</v>
      </c>
      <c r="H105" s="69" t="s">
        <v>138</v>
      </c>
      <c r="I105" s="218">
        <f>=M104</f>
        <v>45670</v>
      </c>
      <c r="J105" s="218">
        <f>=I105+L105</f>
        <v>45680</v>
      </c>
      <c r="K105" s="218">
        <f>=J105</f>
        <v>45680</v>
      </c>
      <c r="L105" s="220">
        <v>10</v>
      </c>
      <c r="M105" s="221">
        <v>45892</v>
      </c>
      <c r="N105" s="42">
        <f>=M105-I105</f>
        <v>222</v>
      </c>
      <c r="O105" s="71">
        <f>=IF(M105="",TODAY()-J105,M105-J105)</f>
        <v>212</v>
      </c>
      <c r="P105" s="43" t="s">
        <f>=IF(O105&gt;0,"逾期","正常")</f>
        <v>21</v>
      </c>
      <c r="Q105" s="73" t="s">
        <v>139</v>
      </c>
      <c r="R105" s="103" t="s"/>
    </row>
    <row r="106" spans="1:18" s="880" customFormat="1">
      <c r="A106" s="214" t="s"/>
      <c r="B106" s="257" t="s"/>
      <c r="C106" s="224" t="s"/>
      <c r="D106" s="109" t="s">
        <v>36</v>
      </c>
      <c r="E106" s="109" t="s">
        <v>37</v>
      </c>
      <c r="F106" s="231">
        <v>0.9</v>
      </c>
      <c r="G106" s="226" t="s">
        <v>38</v>
      </c>
      <c r="H106" s="113" t="s">
        <f>=D103</f>
        <v>65</v>
      </c>
      <c r="I106" s="112">
        <f>=M105</f>
        <v>45892</v>
      </c>
      <c r="J106" s="112">
        <f>=I106+L106</f>
        <v>45982</v>
      </c>
      <c r="K106" s="112">
        <f>=J106</f>
        <v>45982</v>
      </c>
      <c r="L106" s="113">
        <v>90</v>
      </c>
      <c r="M106" s="114" t="s"/>
      <c r="N106" s="115" t="s"/>
      <c r="O106" s="71">
        <f>=IF(M106="",TODAY()-J106,M106-J106)</f>
        <v>160</v>
      </c>
      <c r="P106" s="62" t="s">
        <f>=IF(O106&gt;0,"逾期","正常")</f>
        <v>21</v>
      </c>
      <c r="Q106" s="116" t="s"/>
      <c r="R106" s="117" t="s"/>
    </row>
    <row r="107" spans="1:18" s="880" customFormat="1">
      <c r="A107" s="261" t="s">
        <v>140</v>
      </c>
      <c r="B107" s="210" t="s">
        <v>32</v>
      </c>
      <c r="C107" s="84" t="s">
        <v>141</v>
      </c>
      <c r="D107" s="84" t="s">
        <v>17</v>
      </c>
      <c r="E107" s="84" t="s">
        <v>18</v>
      </c>
      <c r="F107" s="211">
        <v>45616</v>
      </c>
      <c r="G107" s="84" t="s">
        <v>19</v>
      </c>
      <c r="H107" s="84" t="s">
        <v>41</v>
      </c>
      <c r="I107" s="200">
        <f>=F107</f>
        <v>45616</v>
      </c>
      <c r="J107" s="200">
        <v>45636</v>
      </c>
      <c r="K107" s="66">
        <v>45631</v>
      </c>
      <c r="L107" s="84">
        <f>=J107-I107</f>
        <v>20</v>
      </c>
      <c r="M107" s="252">
        <v>45640</v>
      </c>
      <c r="N107" s="213">
        <f>=M107-I107</f>
        <v>24</v>
      </c>
      <c r="O107" s="26">
        <f>=IF(M107="",TODAY()-J107,M107-J107)</f>
        <v>4</v>
      </c>
      <c r="P107" s="29" t="s">
        <f>=IF(O107&gt;0,"逾期","正常")</f>
        <v>21</v>
      </c>
      <c r="Q107" s="227" t="s">
        <v>142</v>
      </c>
      <c r="R107" s="97" t="s"/>
    </row>
    <row r="108" spans="1:18" s="880" customFormat="1">
      <c r="A108" s="214" t="s"/>
      <c r="B108" s="253" t="s"/>
      <c r="C108" s="216" t="s"/>
      <c r="D108" s="203" t="s">
        <v>72</v>
      </c>
      <c r="E108" s="28" t="s">
        <v>23</v>
      </c>
      <c r="F108" s="69">
        <f>=F109-F107</f>
        <v>45</v>
      </c>
      <c r="G108" s="28" t="s">
        <v>24</v>
      </c>
      <c r="H108" s="28" t="s">
        <v>25</v>
      </c>
      <c r="I108" s="203">
        <v>45640</v>
      </c>
      <c r="J108" s="203">
        <f>=F109</f>
        <v>45661</v>
      </c>
      <c r="K108" s="203">
        <f>=J108</f>
        <v>45661</v>
      </c>
      <c r="L108" s="219">
        <f>=J108-I108</f>
        <v>21</v>
      </c>
      <c r="M108" s="206">
        <v>45660</v>
      </c>
      <c r="N108" s="79">
        <f>=M108-I108</f>
        <v>20</v>
      </c>
      <c r="O108" s="71">
        <f>=IF(M108="",TODAY()-J108,M108-J108)</f>
        <v>-1</v>
      </c>
      <c r="P108" s="43" t="s">
        <f>=IF(O108&gt;0,"逾期","正常")</f>
        <v>32</v>
      </c>
      <c r="Q108" s="73" t="s"/>
      <c r="R108" s="103" t="s"/>
    </row>
    <row r="109" spans="1:18" s="880" customFormat="1">
      <c r="A109" s="214" t="s"/>
      <c r="B109" s="253" t="s"/>
      <c r="C109" s="216" t="s"/>
      <c r="D109" s="28" t="s">
        <v>28</v>
      </c>
      <c r="E109" s="28" t="s">
        <v>29</v>
      </c>
      <c r="F109" s="218">
        <v>45661</v>
      </c>
      <c r="G109" s="28" t="s">
        <v>30</v>
      </c>
      <c r="H109" s="28" t="s">
        <v>31</v>
      </c>
      <c r="I109" s="203">
        <f>=M108</f>
        <v>45660</v>
      </c>
      <c r="J109" s="203">
        <f>=I109+7</f>
        <v>45667</v>
      </c>
      <c r="K109" s="203">
        <f>=J109</f>
        <v>45667</v>
      </c>
      <c r="L109" s="219">
        <f>=J109-I109</f>
        <v>7</v>
      </c>
      <c r="M109" s="262">
        <v>45664</v>
      </c>
      <c r="N109" s="79">
        <f>=M109-I109</f>
        <v>4</v>
      </c>
      <c r="O109" s="71">
        <f>=IF(M109="",TODAY()-J109,M109-J109)</f>
        <v>-3</v>
      </c>
      <c r="P109" s="43" t="s">
        <f>=IF(O109&gt;0,"逾期","正常")</f>
        <v>32</v>
      </c>
      <c r="Q109" s="73" t="s"/>
      <c r="R109" s="103" t="s"/>
    </row>
    <row r="110" spans="1:18" s="880" customFormat="1">
      <c r="A110" s="214" t="s"/>
      <c r="B110" s="253" t="s"/>
      <c r="C110" s="216" t="s"/>
      <c r="D110" s="28" t="s">
        <v>46</v>
      </c>
      <c r="E110" s="28" t="s">
        <v>34</v>
      </c>
      <c r="F110" s="51">
        <f>=IF(M108="",TODAY()-F107,M108-F107)</f>
        <v>44</v>
      </c>
      <c r="G110" s="28" t="s">
        <v>35</v>
      </c>
      <c r="H110" s="28" t="s">
        <v>143</v>
      </c>
      <c r="I110" s="203">
        <f>=M109</f>
        <v>45664</v>
      </c>
      <c r="J110" s="203">
        <f>=I110+15</f>
        <v>45679</v>
      </c>
      <c r="K110" s="203">
        <f>=J110</f>
        <v>45679</v>
      </c>
      <c r="L110" s="219">
        <v>15</v>
      </c>
      <c r="M110" s="206">
        <v>45673</v>
      </c>
      <c r="N110" s="79">
        <f>=M110-I110</f>
        <v>9</v>
      </c>
      <c r="O110" s="71">
        <f>=IF(M110="",TODAY()-J110,M110-J110)</f>
        <v>-6</v>
      </c>
      <c r="P110" s="43" t="s">
        <f>=IF(O110&gt;0,"逾期","正常")</f>
        <v>32</v>
      </c>
      <c r="Q110" s="73" t="s"/>
      <c r="R110" s="103" t="s"/>
    </row>
    <row r="111" spans="1:18" s="880" customFormat="1">
      <c r="A111" s="214" t="s"/>
      <c r="B111" s="257" t="s"/>
      <c r="C111" s="224" t="s"/>
      <c r="D111" s="109" t="s">
        <v>36</v>
      </c>
      <c r="E111" s="109" t="s">
        <v>37</v>
      </c>
      <c r="F111" s="231">
        <v>0.9</v>
      </c>
      <c r="G111" s="226" t="s">
        <v>38</v>
      </c>
      <c r="H111" s="113" t="s">
        <f>=D108</f>
        <v>72</v>
      </c>
      <c r="I111" s="112">
        <f>=M110</f>
        <v>45673</v>
      </c>
      <c r="J111" s="112">
        <f>=I111+L111</f>
        <v>45763</v>
      </c>
      <c r="K111" s="112">
        <f>=J111</f>
        <v>45763</v>
      </c>
      <c r="L111" s="113">
        <v>90</v>
      </c>
      <c r="M111" s="114" t="s"/>
      <c r="N111" s="115" t="s"/>
      <c r="O111" s="71">
        <f>=IF(M111="",TODAY()-J111,M111-J111)</f>
        <v>387</v>
      </c>
      <c r="P111" s="62" t="s">
        <f>=IF(O111&gt;0,"逾期","正常")</f>
        <v>21</v>
      </c>
      <c r="Q111" s="116" t="s"/>
      <c r="R111" s="117" t="s"/>
    </row>
    <row r="112" spans="1:18" s="880" customFormat="1">
      <c r="A112" s="209" t="s">
        <v>144</v>
      </c>
      <c r="B112" s="210" t="s">
        <v>32</v>
      </c>
      <c r="C112" s="84" t="s">
        <v>108</v>
      </c>
      <c r="D112" s="84" t="s">
        <v>17</v>
      </c>
      <c r="E112" s="84" t="s">
        <v>18</v>
      </c>
      <c r="F112" s="211">
        <v>45628</v>
      </c>
      <c r="G112" s="84" t="s">
        <v>19</v>
      </c>
      <c r="H112" s="84" t="s">
        <v>49</v>
      </c>
      <c r="I112" s="200">
        <f>=F112</f>
        <v>45628</v>
      </c>
      <c r="J112" s="200">
        <v>45648</v>
      </c>
      <c r="K112" s="66">
        <v>45643</v>
      </c>
      <c r="L112" s="84">
        <f>=J112-I112</f>
        <v>20</v>
      </c>
      <c r="M112" s="252">
        <v>45639</v>
      </c>
      <c r="N112" s="213">
        <f>=M112-I112</f>
        <v>11</v>
      </c>
      <c r="O112" s="26">
        <f>=IF(M112="",TODAY()-J112,M112-J112)</f>
        <v>-9</v>
      </c>
      <c r="P112" s="29" t="s">
        <f>=IF(O112&gt;0,"逾期","正常")</f>
        <v>32</v>
      </c>
      <c r="Q112" s="227" t="s"/>
      <c r="R112" s="97" t="s"/>
    </row>
    <row r="113" spans="1:18" s="880" customFormat="1">
      <c r="A113" s="214" t="s"/>
      <c r="B113" s="253" t="s"/>
      <c r="C113" s="216" t="s"/>
      <c r="D113" s="203" t="s">
        <v>57</v>
      </c>
      <c r="E113" s="28" t="s">
        <v>23</v>
      </c>
      <c r="F113" s="69">
        <f>=F114-F112</f>
        <v>45</v>
      </c>
      <c r="G113" s="28" t="s">
        <v>24</v>
      </c>
      <c r="H113" s="28" t="s">
        <v>50</v>
      </c>
      <c r="I113" s="203">
        <f>=M112</f>
        <v>45639</v>
      </c>
      <c r="J113" s="203">
        <f>=F114</f>
        <v>45673</v>
      </c>
      <c r="K113" s="203">
        <f>=J113</f>
        <v>45673</v>
      </c>
      <c r="L113" s="219">
        <f>=J113-I113</f>
        <v>34</v>
      </c>
      <c r="M113" s="206">
        <v>45670</v>
      </c>
      <c r="N113" s="263">
        <f>=M113-I113</f>
        <v>31</v>
      </c>
      <c r="O113" s="71">
        <f>=IF(M113="",TODAY()-J113,M113-J113)</f>
        <v>-3</v>
      </c>
      <c r="P113" s="43" t="s">
        <f>=IF(O113&gt;0,"逾期","正常")</f>
        <v>32</v>
      </c>
      <c r="Q113" s="73" t="s"/>
      <c r="R113" s="103" t="s"/>
    </row>
    <row r="114" spans="1:18" s="880" customFormat="1">
      <c r="A114" s="214" t="s"/>
      <c r="B114" s="253" t="s"/>
      <c r="C114" s="216" t="s"/>
      <c r="D114" s="28" t="s">
        <v>28</v>
      </c>
      <c r="E114" s="28" t="s">
        <v>29</v>
      </c>
      <c r="F114" s="218">
        <v>45673</v>
      </c>
      <c r="G114" s="28" t="s">
        <v>30</v>
      </c>
      <c r="H114" s="28" t="s">
        <v>31</v>
      </c>
      <c r="I114" s="203">
        <f>=M113</f>
        <v>45670</v>
      </c>
      <c r="J114" s="203">
        <f>=I114+L114</f>
        <v>45677</v>
      </c>
      <c r="K114" s="203">
        <f>=J114</f>
        <v>45677</v>
      </c>
      <c r="L114" s="219">
        <v>7</v>
      </c>
      <c r="M114" s="206">
        <v>45671</v>
      </c>
      <c r="N114" s="263">
        <f>=M114-I114</f>
        <v>1</v>
      </c>
      <c r="O114" s="71">
        <f>=IF(M114="",TODAY()-J114,M114-J114)</f>
        <v>-6</v>
      </c>
      <c r="P114" s="43" t="s">
        <f>=IF(O114&gt;0,"逾期","正常")</f>
        <v>32</v>
      </c>
      <c r="Q114" s="73" t="s"/>
      <c r="R114" s="103" t="s"/>
    </row>
    <row r="115" spans="1:18" s="880" customFormat="1">
      <c r="A115" s="214" t="s"/>
      <c r="B115" s="253" t="s"/>
      <c r="C115" s="216" t="s"/>
      <c r="D115" s="28" t="s">
        <v>33</v>
      </c>
      <c r="E115" s="28" t="s">
        <v>34</v>
      </c>
      <c r="F115" s="51">
        <f>=IF(M113="",TODAY()-F112,M113-F112)</f>
        <v>42</v>
      </c>
      <c r="G115" s="28" t="s">
        <v>35</v>
      </c>
      <c r="H115" s="28" t="s">
        <v>145</v>
      </c>
      <c r="I115" s="203">
        <f>=M114</f>
        <v>45671</v>
      </c>
      <c r="J115" s="203">
        <f>=I115+L115</f>
        <v>45679</v>
      </c>
      <c r="K115" s="203">
        <f>=J115</f>
        <v>45679</v>
      </c>
      <c r="L115" s="264">
        <v>8</v>
      </c>
      <c r="M115" s="206">
        <v>45716</v>
      </c>
      <c r="N115" s="265">
        <f>=M115-I115</f>
        <v>45</v>
      </c>
      <c r="O115" s="71">
        <f>=IF(M115="",TODAY()-J115,M115-J115)</f>
        <v>37</v>
      </c>
      <c r="P115" s="43" t="s">
        <f>=IF(O115&gt;0,"逾期","正常")</f>
        <v>21</v>
      </c>
      <c r="Q115" s="73" t="s">
        <v>146</v>
      </c>
      <c r="R115" s="103" t="s"/>
    </row>
    <row r="116" spans="1:18" s="880" customFormat="1">
      <c r="A116" s="214" t="s"/>
      <c r="B116" s="257" t="s"/>
      <c r="C116" s="224" t="s"/>
      <c r="D116" s="109" t="s">
        <v>36</v>
      </c>
      <c r="E116" s="109" t="s">
        <v>37</v>
      </c>
      <c r="F116" s="225">
        <v>0.48</v>
      </c>
      <c r="G116" s="226" t="s">
        <v>38</v>
      </c>
      <c r="H116" s="113" t="s">
        <f>=D113</f>
        <v>57</v>
      </c>
      <c r="I116" s="112">
        <f>=M115</f>
        <v>45716</v>
      </c>
      <c r="J116" s="112">
        <f>=I116+L116</f>
        <v>45806</v>
      </c>
      <c r="K116" s="112">
        <f>=J116</f>
        <v>45806</v>
      </c>
      <c r="L116" s="113">
        <v>90</v>
      </c>
      <c r="M116" s="114" t="s"/>
      <c r="N116" s="115" t="s"/>
      <c r="O116" s="71">
        <f>=IF(M116="",TODAY()-J116,M116-J116)</f>
        <v>336</v>
      </c>
      <c r="P116" s="62" t="s">
        <f>=IF(O116&gt;0,"逾期","正常")</f>
        <v>21</v>
      </c>
      <c r="Q116" s="116" t="s"/>
      <c r="R116" s="117" t="s"/>
    </row>
    <row r="117" spans="1:18" s="879" customFormat="1">
      <c r="A117" s="266" t="s">
        <v>147</v>
      </c>
      <c r="B117" s="267" t="s">
        <v>32</v>
      </c>
      <c r="C117" s="268" t="s">
        <v>48</v>
      </c>
      <c r="D117" s="269" t="s">
        <v>17</v>
      </c>
      <c r="E117" s="269" t="s">
        <v>18</v>
      </c>
      <c r="F117" s="270">
        <v>45649</v>
      </c>
      <c r="G117" s="269" t="s">
        <v>19</v>
      </c>
      <c r="H117" s="269" t="s">
        <v>41</v>
      </c>
      <c r="I117" s="271">
        <f>=F117</f>
        <v>45649</v>
      </c>
      <c r="J117" s="271">
        <v>45674</v>
      </c>
      <c r="K117" s="271">
        <v>45664</v>
      </c>
      <c r="L117" s="269">
        <f>=J117-I117</f>
        <v>25</v>
      </c>
      <c r="M117" s="272">
        <v>45667</v>
      </c>
      <c r="N117" s="162">
        <f>=M117-I117</f>
        <v>18</v>
      </c>
      <c r="O117" s="84">
        <f>=IF(M117="",TODAY()-J117,M117-J117)</f>
        <v>-7</v>
      </c>
      <c r="P117" s="273" t="s">
        <f>=IF(O117&gt;0,"逾期","正常")</f>
        <v>32</v>
      </c>
      <c r="Q117" s="274" t="s"/>
      <c r="R117" s="275" t="s"/>
    </row>
    <row r="118" spans="1:18" s="879" customFormat="1">
      <c r="A118" s="276" t="s"/>
      <c r="B118" s="277" t="s"/>
      <c r="C118" s="278" t="s"/>
      <c r="D118" s="279" t="s">
        <v>65</v>
      </c>
      <c r="E118" s="280" t="s">
        <v>23</v>
      </c>
      <c r="F118" s="281">
        <f>=F119-F117</f>
        <v>50</v>
      </c>
      <c r="G118" s="280" t="s">
        <v>24</v>
      </c>
      <c r="H118" s="280" t="s">
        <v>50</v>
      </c>
      <c r="I118" s="177">
        <f>=M117</f>
        <v>45667</v>
      </c>
      <c r="J118" s="177">
        <f>=F119</f>
        <v>45699</v>
      </c>
      <c r="K118" s="177">
        <f>=J118</f>
        <v>45699</v>
      </c>
      <c r="L118" s="282">
        <f>=J118-I118</f>
        <v>32</v>
      </c>
      <c r="M118" s="283">
        <v>45698</v>
      </c>
      <c r="N118" s="122">
        <f>=M118-I118</f>
        <v>31</v>
      </c>
      <c r="O118" s="28">
        <f>=IF(M118="",TODAY()-J118,M118-J118)</f>
        <v>-1</v>
      </c>
      <c r="P118" s="284" t="s">
        <f>=IF(O118&gt;0,"逾期","正常")</f>
        <v>32</v>
      </c>
      <c r="Q118" s="285" t="s">
        <v>148</v>
      </c>
      <c r="R118" s="286" t="s"/>
    </row>
    <row r="119" spans="1:18" s="879" customFormat="1">
      <c r="A119" s="276" t="s"/>
      <c r="B119" s="277" t="s"/>
      <c r="C119" s="278" t="s"/>
      <c r="D119" s="280" t="s">
        <v>28</v>
      </c>
      <c r="E119" s="280" t="s">
        <v>29</v>
      </c>
      <c r="F119" s="287">
        <v>45699</v>
      </c>
      <c r="G119" s="280" t="s">
        <v>30</v>
      </c>
      <c r="H119" s="280" t="s">
        <v>31</v>
      </c>
      <c r="I119" s="279">
        <f>=M118</f>
        <v>45698</v>
      </c>
      <c r="J119" s="279">
        <f>=I119+L119</f>
        <v>45705</v>
      </c>
      <c r="K119" s="279">
        <f>=J119</f>
        <v>45705</v>
      </c>
      <c r="L119" s="288">
        <v>7</v>
      </c>
      <c r="M119" s="289">
        <v>45704</v>
      </c>
      <c r="N119" s="122">
        <f>=M119-I119</f>
        <v>6</v>
      </c>
      <c r="O119" s="28">
        <f>=IF(M119="",TODAY()-J119,M119-J119)</f>
        <v>-1</v>
      </c>
      <c r="P119" s="290" t="s">
        <f>=IF(O119&gt;0,"逾期","正常")</f>
        <v>32</v>
      </c>
      <c r="Q119" s="285" t="s">
        <v>149</v>
      </c>
      <c r="R119" s="286" t="s"/>
    </row>
    <row r="120" spans="1:18" s="879" customFormat="1">
      <c r="A120" s="276" t="s"/>
      <c r="B120" s="277" t="s"/>
      <c r="C120" s="278" t="s"/>
      <c r="D120" s="280" t="s">
        <v>33</v>
      </c>
      <c r="E120" s="280" t="s">
        <v>34</v>
      </c>
      <c r="F120" s="291">
        <f>=IF(M118="",TODAY()-F117,M118-F117)</f>
        <v>49</v>
      </c>
      <c r="G120" s="280" t="s">
        <v>35</v>
      </c>
      <c r="H120" s="280" t="s">
        <v>150</v>
      </c>
      <c r="I120" s="279">
        <f>=M119</f>
        <v>45704</v>
      </c>
      <c r="J120" s="279">
        <f>=I120+L120</f>
        <v>45714</v>
      </c>
      <c r="K120" s="279">
        <f>=J120</f>
        <v>45714</v>
      </c>
      <c r="L120" s="288">
        <v>10</v>
      </c>
      <c r="M120" s="289">
        <v>45714</v>
      </c>
      <c r="N120" s="160">
        <f>=M120-I120</f>
        <v>10</v>
      </c>
      <c r="O120" s="28">
        <f>=IF(M120="",TODAY()-J120,M120-J120)</f>
        <v>0</v>
      </c>
      <c r="P120" s="290" t="s">
        <f>=IF(O120&gt;0,"逾期","正常")</f>
        <v>32</v>
      </c>
      <c r="Q120" s="285" t="s">
        <v>151</v>
      </c>
      <c r="R120" s="286" t="s"/>
    </row>
    <row r="121" spans="1:18" s="879" customFormat="1">
      <c r="A121" s="292" t="s"/>
      <c r="B121" s="293" t="s"/>
      <c r="C121" s="294" t="s"/>
      <c r="D121" s="295" t="s">
        <v>36</v>
      </c>
      <c r="E121" s="295" t="s">
        <v>37</v>
      </c>
      <c r="F121" s="296">
        <v>0.9</v>
      </c>
      <c r="G121" s="297" t="s">
        <v>38</v>
      </c>
      <c r="H121" s="298" t="s">
        <f>=D118</f>
        <v>65</v>
      </c>
      <c r="I121" s="299">
        <f>=M120</f>
        <v>45714</v>
      </c>
      <c r="J121" s="299">
        <f>=I121+L121</f>
        <v>45804</v>
      </c>
      <c r="K121" s="299">
        <f>=J121</f>
        <v>45804</v>
      </c>
      <c r="L121" s="298">
        <v>90</v>
      </c>
      <c r="M121" s="300" t="s"/>
      <c r="N121" s="160" t="s"/>
      <c r="O121" s="28">
        <f>=IF(M121="",TODAY()-J121,M121-J121)</f>
        <v>338</v>
      </c>
      <c r="P121" s="301" t="s">
        <f>=IF(O121&gt;0,"逾期","正常")</f>
        <v>21</v>
      </c>
      <c r="Q121" s="302" t="s"/>
      <c r="R121" s="303" t="s"/>
    </row>
    <row r="122" spans="1:18" s="879" customFormat="1">
      <c r="A122" s="304" t="s">
        <v>152</v>
      </c>
      <c r="B122" s="267" t="s">
        <v>32</v>
      </c>
      <c r="C122" s="305" t="s">
        <v>153</v>
      </c>
      <c r="D122" s="306" t="s">
        <v>17</v>
      </c>
      <c r="E122" s="306" t="s">
        <v>18</v>
      </c>
      <c r="F122" s="307">
        <v>45661</v>
      </c>
      <c r="G122" s="269" t="s">
        <v>19</v>
      </c>
      <c r="H122" s="269" t="s">
        <v>20</v>
      </c>
      <c r="I122" s="271">
        <f>=F122</f>
        <v>45661</v>
      </c>
      <c r="J122" s="271">
        <v>45682</v>
      </c>
      <c r="K122" s="271">
        <v>45307</v>
      </c>
      <c r="L122" s="269">
        <f>=J122-I122</f>
        <v>21</v>
      </c>
      <c r="M122" s="272">
        <v>45661</v>
      </c>
      <c r="N122" s="308">
        <f>=M122-I122</f>
        <v>0</v>
      </c>
      <c r="O122" s="84">
        <f>=IF(M122="",TODAY()-J122,M122-J122)</f>
        <v>-21</v>
      </c>
      <c r="P122" s="309" t="s">
        <f>=IF(O122&gt;0,"逾期","正常")</f>
        <v>32</v>
      </c>
      <c r="Q122" s="310" t="s"/>
      <c r="R122" s="311" t="s"/>
    </row>
    <row r="123" spans="1:18" s="879" customFormat="1">
      <c r="A123" s="276" t="s"/>
      <c r="B123" s="277" t="s"/>
      <c r="C123" s="278" t="s"/>
      <c r="D123" s="312" t="s">
        <v>22</v>
      </c>
      <c r="E123" s="313" t="s">
        <v>23</v>
      </c>
      <c r="F123" s="314">
        <f>=F124-F122</f>
        <v>41</v>
      </c>
      <c r="G123" s="280" t="s">
        <v>24</v>
      </c>
      <c r="H123" s="315" t="s">
        <v>50</v>
      </c>
      <c r="I123" s="158">
        <f>=M122</f>
        <v>45661</v>
      </c>
      <c r="J123" s="158">
        <f>=F124</f>
        <v>45702</v>
      </c>
      <c r="K123" s="158">
        <f>=J123</f>
        <v>45702</v>
      </c>
      <c r="L123" s="159">
        <f>=J123-I123</f>
        <v>41</v>
      </c>
      <c r="M123" s="163">
        <v>45666</v>
      </c>
      <c r="N123" s="316">
        <f>=M123-I123</f>
        <v>5</v>
      </c>
      <c r="O123" s="241">
        <f>=IF(M123="",TODAY()-J123,M123-J123)</f>
        <v>-36</v>
      </c>
      <c r="P123" s="317" t="s">
        <f>=IF(O123&gt;0,"逾期","正常")</f>
        <v>32</v>
      </c>
      <c r="Q123" s="318" t="s"/>
      <c r="R123" s="319" t="s"/>
    </row>
    <row r="124" spans="1:18" s="879" customFormat="1">
      <c r="A124" s="276" t="s"/>
      <c r="B124" s="277" t="s"/>
      <c r="C124" s="278" t="s"/>
      <c r="D124" s="313" t="s">
        <v>28</v>
      </c>
      <c r="E124" s="313" t="s">
        <v>29</v>
      </c>
      <c r="F124" s="320">
        <v>45702</v>
      </c>
      <c r="G124" s="280" t="s">
        <v>30</v>
      </c>
      <c r="H124" s="315" t="s">
        <v>31</v>
      </c>
      <c r="I124" s="158">
        <f>=M123</f>
        <v>45666</v>
      </c>
      <c r="J124" s="158">
        <f>=I124+L124</f>
        <v>45673</v>
      </c>
      <c r="K124" s="158">
        <f>=J124</f>
        <v>45673</v>
      </c>
      <c r="L124" s="159">
        <v>7</v>
      </c>
      <c r="M124" s="321">
        <v>45670</v>
      </c>
      <c r="N124" s="316">
        <f>=M124-I124</f>
        <v>4</v>
      </c>
      <c r="O124" s="241">
        <f>=IF(M124="",TODAY()-J124,M124-J124)</f>
        <v>-3</v>
      </c>
      <c r="P124" s="317" t="s">
        <f>=IF(O124&gt;0,"逾期","正常")</f>
        <v>32</v>
      </c>
      <c r="Q124" s="318" t="s"/>
      <c r="R124" s="319" t="s"/>
    </row>
    <row r="125" spans="1:18" s="879" customFormat="1">
      <c r="A125" s="276" t="s"/>
      <c r="B125" s="277" t="s"/>
      <c r="C125" s="278" t="s"/>
      <c r="D125" s="313" t="s">
        <v>51</v>
      </c>
      <c r="E125" s="313" t="s">
        <v>34</v>
      </c>
      <c r="F125" s="314">
        <f>=IF(M123="",TODAY()-F122,M123-F122)</f>
        <v>5</v>
      </c>
      <c r="G125" s="280" t="s">
        <v>35</v>
      </c>
      <c r="H125" s="315" t="s">
        <v>58</v>
      </c>
      <c r="I125" s="322">
        <f>=M124</f>
        <v>45670</v>
      </c>
      <c r="J125" s="322">
        <f>=I125+L125</f>
        <v>45676</v>
      </c>
      <c r="K125" s="322">
        <f>=J125</f>
        <v>45676</v>
      </c>
      <c r="L125" s="323">
        <v>6</v>
      </c>
      <c r="M125" s="321">
        <v>45744</v>
      </c>
      <c r="N125" s="324">
        <f>=M125-I125</f>
        <v>74</v>
      </c>
      <c r="O125" s="241">
        <f>=IF(M125="",TODAY()-J125,M125-J125)</f>
        <v>68</v>
      </c>
      <c r="P125" s="317" t="s">
        <f>=IF(O125&gt;0,"逾期","正常")</f>
        <v>21</v>
      </c>
      <c r="Q125" s="318" t="s">
        <v>154</v>
      </c>
      <c r="R125" s="319" t="s"/>
    </row>
    <row r="126" spans="1:18" s="879" customFormat="1">
      <c r="A126" s="292" t="s"/>
      <c r="B126" s="293" t="s"/>
      <c r="C126" s="294" t="s"/>
      <c r="D126" s="325" t="s">
        <v>36</v>
      </c>
      <c r="E126" s="325" t="s">
        <v>37</v>
      </c>
      <c r="F126" s="296">
        <v>0.2941</v>
      </c>
      <c r="G126" s="297" t="s">
        <v>38</v>
      </c>
      <c r="H126" s="326" t="s">
        <f>=D123</f>
        <v>22</v>
      </c>
      <c r="I126" s="327">
        <f>=M125</f>
        <v>45744</v>
      </c>
      <c r="J126" s="327">
        <f>=I126+L126</f>
        <v>45834</v>
      </c>
      <c r="K126" s="327">
        <f>=J126</f>
        <v>45834</v>
      </c>
      <c r="L126" s="326">
        <v>90</v>
      </c>
      <c r="M126" s="328" t="s"/>
      <c r="N126" s="329" t="s"/>
      <c r="O126" s="241">
        <f>=IF(M126="",TODAY()-J126,M126-J126)</f>
        <v>308</v>
      </c>
      <c r="P126" s="330" t="s">
        <f>=IF(O126&gt;0,"逾期","正常")</f>
        <v>21</v>
      </c>
      <c r="Q126" s="331" t="s"/>
      <c r="R126" s="332" t="s"/>
    </row>
    <row r="127" spans="1:18">
      <c r="A127" s="333" t="s">
        <v>155</v>
      </c>
      <c r="B127" s="267" t="s">
        <v>32</v>
      </c>
      <c r="C127" s="334" t="s">
        <v>156</v>
      </c>
      <c r="D127" s="335" t="s">
        <v>17</v>
      </c>
      <c r="E127" s="335" t="s">
        <v>18</v>
      </c>
      <c r="F127" s="336">
        <v>45673</v>
      </c>
      <c r="G127" s="337" t="s">
        <v>19</v>
      </c>
      <c r="H127" s="337" t="s">
        <v>49</v>
      </c>
      <c r="I127" s="271">
        <f>=F127</f>
        <v>45673</v>
      </c>
      <c r="J127" s="271">
        <v>45692</v>
      </c>
      <c r="K127" s="271">
        <v>45680</v>
      </c>
      <c r="L127" s="269">
        <f>=J127-I127</f>
        <v>19</v>
      </c>
      <c r="M127" s="272">
        <v>45707</v>
      </c>
      <c r="N127" s="308">
        <f>=M127-I127</f>
        <v>34</v>
      </c>
      <c r="O127" s="84">
        <f>=IF(M127="",TODAY()-J127,M127-J127)</f>
        <v>15</v>
      </c>
      <c r="P127" s="284" t="s">
        <f>=IF(O127&gt;0,"逾期","正常")</f>
        <v>21</v>
      </c>
      <c r="Q127" s="338" t="s">
        <v>157</v>
      </c>
      <c r="R127" s="339" t="s"/>
    </row>
    <row r="128" spans="1:18">
      <c r="A128" s="340" t="s"/>
      <c r="B128" s="277" t="s"/>
      <c r="C128" s="341" t="s"/>
      <c r="D128" s="342" t="s">
        <v>57</v>
      </c>
      <c r="E128" s="343" t="s">
        <v>23</v>
      </c>
      <c r="F128" s="344">
        <f>=F129-F127</f>
        <v>38</v>
      </c>
      <c r="G128" s="345" t="s">
        <v>24</v>
      </c>
      <c r="H128" s="345" t="s">
        <v>50</v>
      </c>
      <c r="I128" s="177">
        <f>=M127</f>
        <v>45707</v>
      </c>
      <c r="J128" s="177">
        <f>=F129</f>
        <v>45711</v>
      </c>
      <c r="K128" s="177">
        <f>=J128</f>
        <v>45711</v>
      </c>
      <c r="L128" s="282">
        <f>=J128-I128</f>
        <v>4</v>
      </c>
      <c r="M128" s="346">
        <v>45712</v>
      </c>
      <c r="N128" s="316">
        <f>=M128-I128</f>
        <v>5</v>
      </c>
      <c r="O128" s="241">
        <f>=IF(M128="",TODAY()-J128,M128-J128)</f>
        <v>1</v>
      </c>
      <c r="P128" s="284" t="s">
        <f>=IF(O128&gt;0,"逾期","正常")</f>
        <v>21</v>
      </c>
      <c r="Q128" s="347" t="s"/>
      <c r="R128" s="348" t="s"/>
    </row>
    <row r="129" spans="1:18">
      <c r="A129" s="340" t="s"/>
      <c r="B129" s="277" t="s"/>
      <c r="C129" s="341" t="s"/>
      <c r="D129" s="343" t="s">
        <v>28</v>
      </c>
      <c r="E129" s="343" t="s">
        <v>29</v>
      </c>
      <c r="F129" s="349">
        <v>45711</v>
      </c>
      <c r="G129" s="345" t="s">
        <v>30</v>
      </c>
      <c r="H129" s="350" t="s">
        <v>31</v>
      </c>
      <c r="I129" s="158">
        <f>=M128</f>
        <v>45712</v>
      </c>
      <c r="J129" s="158">
        <f>=I129+L129</f>
        <v>45719</v>
      </c>
      <c r="K129" s="158">
        <f>=J129</f>
        <v>45719</v>
      </c>
      <c r="L129" s="159">
        <v>7</v>
      </c>
      <c r="M129" s="351">
        <v>45733</v>
      </c>
      <c r="N129" s="316">
        <f>=M129-I129</f>
        <v>21</v>
      </c>
      <c r="O129" s="241">
        <f>=IF(M129="",TODAY()-J129,M129-J129)</f>
        <v>14</v>
      </c>
      <c r="P129" s="284" t="s">
        <f>=IF(O129&gt;0,"逾期","正常")</f>
        <v>21</v>
      </c>
      <c r="Q129" s="347" t="s">
        <v>158</v>
      </c>
      <c r="R129" s="348" t="s"/>
    </row>
    <row r="130" spans="1:18">
      <c r="A130" s="340" t="s"/>
      <c r="B130" s="277" t="s"/>
      <c r="C130" s="341" t="s"/>
      <c r="D130" s="343" t="s">
        <v>51</v>
      </c>
      <c r="E130" s="343" t="s">
        <v>34</v>
      </c>
      <c r="F130" s="314">
        <f>=IF(M128="",TODAY()-F127,M128-F127)</f>
        <v>39</v>
      </c>
      <c r="G130" s="345" t="s">
        <v>35</v>
      </c>
      <c r="H130" s="352" t="s">
        <v>58</v>
      </c>
      <c r="I130" s="353">
        <v>45733</v>
      </c>
      <c r="J130" s="353">
        <f>=I130+L130</f>
        <v>45745</v>
      </c>
      <c r="K130" s="353">
        <f>=J130</f>
        <v>45745</v>
      </c>
      <c r="L130" s="354">
        <v>12</v>
      </c>
      <c r="M130" s="351">
        <v>45744</v>
      </c>
      <c r="N130" s="324">
        <f>=M130-I130</f>
        <v>11</v>
      </c>
      <c r="O130" s="241">
        <f>=IF(M130="",TODAY()-J130,M130-J130)</f>
        <v>-1</v>
      </c>
      <c r="P130" s="284" t="s">
        <f>=IF(O130&gt;0,"逾期","正常")</f>
        <v>32</v>
      </c>
      <c r="Q130" s="347" t="s"/>
      <c r="R130" s="348" t="s"/>
    </row>
    <row r="131" spans="1:18">
      <c r="A131" s="340" t="s"/>
      <c r="B131" s="293" t="s"/>
      <c r="C131" s="341" t="s"/>
      <c r="D131" s="355" t="s">
        <v>36</v>
      </c>
      <c r="E131" s="355" t="s">
        <v>37</v>
      </c>
      <c r="F131" s="296">
        <v>0.6205</v>
      </c>
      <c r="G131" s="356" t="s">
        <v>38</v>
      </c>
      <c r="H131" s="326" t="s">
        <f>=D128</f>
        <v>57</v>
      </c>
      <c r="I131" s="357">
        <f>=M130</f>
        <v>45744</v>
      </c>
      <c r="J131" s="357">
        <f>=I131+L131</f>
        <v>45834</v>
      </c>
      <c r="K131" s="357">
        <f>=J131</f>
        <v>45834</v>
      </c>
      <c r="L131" s="358">
        <v>90</v>
      </c>
      <c r="M131" s="359" t="s"/>
      <c r="N131" s="360" t="s"/>
      <c r="O131" s="28">
        <f>=IF(M131="",TODAY()-J131,M131-J131)</f>
        <v>316</v>
      </c>
      <c r="P131" s="284" t="s">
        <f>=IF(O131&gt;0,"逾期","正常")</f>
        <v>21</v>
      </c>
      <c r="Q131" s="361" t="s"/>
      <c r="R131" s="362" t="s"/>
    </row>
    <row r="132" spans="1:18">
      <c r="A132" s="333" t="s">
        <v>159</v>
      </c>
      <c r="B132" s="267" t="s">
        <v>32</v>
      </c>
      <c r="C132" s="334" t="s">
        <v>160</v>
      </c>
      <c r="D132" s="335" t="s">
        <v>17</v>
      </c>
      <c r="E132" s="335" t="s">
        <v>18</v>
      </c>
      <c r="F132" s="336">
        <v>45705</v>
      </c>
      <c r="G132" s="337" t="s">
        <v>19</v>
      </c>
      <c r="H132" s="337" t="s">
        <v>63</v>
      </c>
      <c r="I132" s="271">
        <f>=F132</f>
        <v>45705</v>
      </c>
      <c r="J132" s="271">
        <v>45725</v>
      </c>
      <c r="K132" s="271">
        <v>45715</v>
      </c>
      <c r="L132" s="269">
        <f>=J132-I132</f>
        <v>20</v>
      </c>
      <c r="M132" s="272">
        <v>45736</v>
      </c>
      <c r="N132" s="363">
        <f>=M132-I132</f>
        <v>31</v>
      </c>
      <c r="O132" s="84">
        <f>=IF(M132="",TODAY()-J132,M132-J132)</f>
        <v>11</v>
      </c>
      <c r="P132" s="284" t="s">
        <f>=IF(O132&gt;0,"逾期","正常")</f>
        <v>21</v>
      </c>
      <c r="Q132" s="338" t="s">
        <v>161</v>
      </c>
      <c r="R132" s="339" t="s"/>
    </row>
    <row r="133" spans="1:18">
      <c r="A133" s="340" t="s"/>
      <c r="B133" s="277" t="s"/>
      <c r="C133" s="341" t="s"/>
      <c r="D133" s="342" t="s">
        <v>162</v>
      </c>
      <c r="E133" s="343" t="s">
        <v>23</v>
      </c>
      <c r="F133" s="344">
        <f>=F134-F132</f>
        <v>34</v>
      </c>
      <c r="G133" s="345" t="s">
        <v>24</v>
      </c>
      <c r="H133" s="350" t="s">
        <v>50</v>
      </c>
      <c r="I133" s="353">
        <f>=M132</f>
        <v>45736</v>
      </c>
      <c r="J133" s="353">
        <f>=I133+L133</f>
        <v>45746</v>
      </c>
      <c r="K133" s="353">
        <f>=J133</f>
        <v>45746</v>
      </c>
      <c r="L133" s="354">
        <v>10</v>
      </c>
      <c r="M133" s="351">
        <v>45747</v>
      </c>
      <c r="N133" s="364">
        <f>=M133-I133</f>
        <v>11</v>
      </c>
      <c r="O133" s="28">
        <f>=IF(M133="",TODAY()-J133,M133-J133)</f>
        <v>1</v>
      </c>
      <c r="P133" s="284" t="s">
        <f>=IF(O133&gt;0,"逾期","正常")</f>
        <v>21</v>
      </c>
      <c r="Q133" s="347" t="s"/>
      <c r="R133" s="348" t="s"/>
    </row>
    <row r="134" spans="1:18">
      <c r="A134" s="340" t="s"/>
      <c r="B134" s="277" t="s"/>
      <c r="C134" s="341" t="s"/>
      <c r="D134" s="343" t="s">
        <v>28</v>
      </c>
      <c r="E134" s="343" t="s">
        <v>29</v>
      </c>
      <c r="F134" s="349">
        <v>45739</v>
      </c>
      <c r="G134" s="345" t="s">
        <v>30</v>
      </c>
      <c r="H134" s="350" t="s">
        <v>31</v>
      </c>
      <c r="I134" s="322">
        <f>=M133</f>
        <v>45747</v>
      </c>
      <c r="J134" s="322">
        <f>=I134+L134</f>
        <v>45754</v>
      </c>
      <c r="K134" s="322">
        <f>=J134</f>
        <v>45754</v>
      </c>
      <c r="L134" s="323">
        <v>7</v>
      </c>
      <c r="M134" s="351">
        <v>45748</v>
      </c>
      <c r="N134" s="365">
        <f>=M134-I134</f>
        <v>1</v>
      </c>
      <c r="O134" s="28">
        <f>=IF(M134="",TODAY()-J134,M134-J134)</f>
        <v>-6</v>
      </c>
      <c r="P134" s="284" t="s">
        <f>=IF(O134&gt;0,"逾期","正常")</f>
        <v>32</v>
      </c>
      <c r="Q134" s="347" t="s"/>
      <c r="R134" s="348" t="s"/>
    </row>
    <row r="135" spans="1:18">
      <c r="A135" s="340" t="s"/>
      <c r="B135" s="277" t="s"/>
      <c r="C135" s="341" t="s"/>
      <c r="D135" s="343" t="s">
        <v>51</v>
      </c>
      <c r="E135" s="343" t="s">
        <v>34</v>
      </c>
      <c r="F135" s="314">
        <f>=IF(M133="",TODAY()-F132,M133-F132)</f>
        <v>42</v>
      </c>
      <c r="G135" s="345" t="s">
        <v>35</v>
      </c>
      <c r="H135" s="352" t="s">
        <v>124</v>
      </c>
      <c r="I135" s="353">
        <f>=M134</f>
        <v>45748</v>
      </c>
      <c r="J135" s="353">
        <f>=I135+L135</f>
        <v>45764</v>
      </c>
      <c r="K135" s="353">
        <f>=J135</f>
        <v>45764</v>
      </c>
      <c r="L135" s="354">
        <v>16</v>
      </c>
      <c r="M135" s="351">
        <v>45766</v>
      </c>
      <c r="N135" s="366">
        <f>=M135-I135</f>
        <v>18</v>
      </c>
      <c r="O135" s="28">
        <f>=IF(M135="",TODAY()-J135,M135-J135)</f>
        <v>2</v>
      </c>
      <c r="P135" s="284" t="s">
        <f>=IF(O135&gt;0,"逾期","正常")</f>
        <v>21</v>
      </c>
      <c r="Q135" s="347" t="s">
        <v>163</v>
      </c>
      <c r="R135" s="348" t="s"/>
    </row>
    <row r="136" spans="1:18">
      <c r="A136" s="340" t="s"/>
      <c r="B136" s="293" t="s"/>
      <c r="C136" s="341" t="s"/>
      <c r="D136" s="355" t="s">
        <v>36</v>
      </c>
      <c r="E136" s="355" t="s">
        <v>37</v>
      </c>
      <c r="F136" s="296">
        <v>0.9</v>
      </c>
      <c r="G136" s="367" t="s">
        <v>38</v>
      </c>
      <c r="H136" s="368" t="s">
        <f>=D133</f>
        <v>162</v>
      </c>
      <c r="I136" s="369">
        <f>=M135</f>
        <v>45766</v>
      </c>
      <c r="J136" s="369">
        <f>=I136+L136</f>
        <v>46126</v>
      </c>
      <c r="K136" s="369">
        <f>=J136</f>
        <v>46126</v>
      </c>
      <c r="L136" s="370">
        <v>360</v>
      </c>
      <c r="M136" s="371" t="s"/>
      <c r="N136" s="360" t="s"/>
      <c r="O136" s="28">
        <f>=IF(M136="",TODAY()-J136,M136-J136)</f>
        <v>16</v>
      </c>
      <c r="P136" s="372" t="s">
        <f>=IF(O136&gt;0,"逾期","正常")</f>
        <v>21</v>
      </c>
      <c r="Q136" s="361" t="s">
        <v>164</v>
      </c>
      <c r="R136" s="362" t="s"/>
    </row>
    <row r="137" spans="1:18">
      <c r="A137" s="373" t="s">
        <v>165</v>
      </c>
      <c r="B137" s="374" t="s">
        <v>32</v>
      </c>
      <c r="C137" s="375" t="s">
        <v>166</v>
      </c>
      <c r="D137" s="376" t="s">
        <v>17</v>
      </c>
      <c r="E137" s="376" t="s">
        <v>18</v>
      </c>
      <c r="F137" s="377">
        <v>45708</v>
      </c>
      <c r="G137" s="378" t="s">
        <v>19</v>
      </c>
      <c r="H137" s="379" t="s">
        <v>41</v>
      </c>
      <c r="I137" s="120">
        <f>=F137</f>
        <v>45708</v>
      </c>
      <c r="J137" s="120">
        <v>45733</v>
      </c>
      <c r="K137" s="120">
        <v>45723</v>
      </c>
      <c r="L137" s="91">
        <f>=J137-I137</f>
        <v>25</v>
      </c>
      <c r="M137" s="380">
        <v>45722</v>
      </c>
      <c r="N137" s="381">
        <f>=M137-I137</f>
        <v>14</v>
      </c>
      <c r="O137" s="382">
        <f>=IF(M137="",TODAY()-J137,M137-J137)</f>
        <v>-11</v>
      </c>
      <c r="P137" s="131" t="s">
        <f>=IF(O137&gt;0,"逾期","正常")</f>
        <v>32</v>
      </c>
      <c r="Q137" s="383" t="s"/>
      <c r="R137" s="384" t="s"/>
    </row>
    <row r="138" spans="1:18">
      <c r="A138" s="385" t="s"/>
      <c r="B138" s="386" t="s"/>
      <c r="C138" s="387" t="s"/>
      <c r="D138" s="388" t="s">
        <v>42</v>
      </c>
      <c r="E138" s="389" t="s">
        <v>23</v>
      </c>
      <c r="F138" s="390">
        <f>=F139-F137</f>
        <v>44</v>
      </c>
      <c r="G138" s="391" t="s">
        <v>24</v>
      </c>
      <c r="H138" s="392" t="s">
        <v>25</v>
      </c>
      <c r="I138" s="126">
        <f>=M137</f>
        <v>45722</v>
      </c>
      <c r="J138" s="126">
        <f>=F139</f>
        <v>45752</v>
      </c>
      <c r="K138" s="126">
        <f>=J138</f>
        <v>45752</v>
      </c>
      <c r="L138" s="393">
        <f>=J138-I138</f>
        <v>30</v>
      </c>
      <c r="M138" s="394">
        <v>45750</v>
      </c>
      <c r="N138" s="395">
        <f>=M138-I138</f>
        <v>28</v>
      </c>
      <c r="O138" s="240">
        <f>=IF(M138="",TODAY()-J138,M138-J138)</f>
        <v>-2</v>
      </c>
      <c r="P138" s="131" t="s">
        <f>=IF(O138&gt;0,"逾期","正常")</f>
        <v>32</v>
      </c>
      <c r="Q138" s="396" t="s"/>
      <c r="R138" s="397" t="s"/>
    </row>
    <row r="139" spans="1:18">
      <c r="A139" s="385" t="s"/>
      <c r="B139" s="386" t="s"/>
      <c r="C139" s="387" t="s"/>
      <c r="D139" s="389" t="s">
        <v>28</v>
      </c>
      <c r="E139" s="389" t="s">
        <v>29</v>
      </c>
      <c r="F139" s="398">
        <v>45752</v>
      </c>
      <c r="G139" s="399" t="s">
        <v>30</v>
      </c>
      <c r="H139" s="392" t="s">
        <v>31</v>
      </c>
      <c r="I139" s="400">
        <f>=M138</f>
        <v>45750</v>
      </c>
      <c r="J139" s="400">
        <f>=I139+L139</f>
        <v>45757</v>
      </c>
      <c r="K139" s="400">
        <f>=J139</f>
        <v>45757</v>
      </c>
      <c r="L139" s="401">
        <v>7</v>
      </c>
      <c r="M139" s="394">
        <v>45755</v>
      </c>
      <c r="N139" s="395">
        <f>=M139-I139</f>
        <v>5</v>
      </c>
      <c r="O139" s="240">
        <f>=IF(M139="",TODAY()-J139,M139-J139)</f>
        <v>-2</v>
      </c>
      <c r="P139" s="131" t="s">
        <f>=IF(O139&gt;0,"逾期","正常")</f>
        <v>32</v>
      </c>
      <c r="Q139" s="396" t="s"/>
      <c r="R139" s="397" t="s"/>
    </row>
    <row r="140" spans="1:18">
      <c r="A140" s="385" t="s"/>
      <c r="B140" s="386" t="s"/>
      <c r="C140" s="387" t="s"/>
      <c r="D140" s="389" t="s">
        <v>33</v>
      </c>
      <c r="E140" s="389" t="s">
        <v>34</v>
      </c>
      <c r="F140" s="136">
        <f>=IF(M138="",TODAY()-F137,M138-F137)</f>
        <v>42</v>
      </c>
      <c r="G140" s="402" t="s">
        <v>35</v>
      </c>
      <c r="H140" s="403" t="s">
        <v>73</v>
      </c>
      <c r="I140" s="404">
        <f>=M139</f>
        <v>45755</v>
      </c>
      <c r="J140" s="404">
        <f>=I140+L140</f>
        <v>45763</v>
      </c>
      <c r="K140" s="404">
        <f>=J140</f>
        <v>45763</v>
      </c>
      <c r="L140" s="405">
        <v>8</v>
      </c>
      <c r="M140" s="406">
        <v>45819</v>
      </c>
      <c r="N140" s="407">
        <f>=M140-I140</f>
        <v>64</v>
      </c>
      <c r="O140" s="240">
        <f>=IF(M140="",TODAY()-J140,M140-J140)</f>
        <v>56</v>
      </c>
      <c r="P140" s="131" t="s">
        <f>=IF(O140&gt;0,"逾期","正常")</f>
        <v>21</v>
      </c>
      <c r="Q140" s="396" t="s">
        <v>167</v>
      </c>
      <c r="R140" s="397" t="s"/>
    </row>
    <row r="141" spans="1:18">
      <c r="A141" s="385" t="s"/>
      <c r="B141" s="408" t="s"/>
      <c r="C141" s="409" t="s"/>
      <c r="D141" s="410" t="s">
        <v>36</v>
      </c>
      <c r="E141" s="410" t="s">
        <v>37</v>
      </c>
      <c r="F141" s="140">
        <v>0.9143</v>
      </c>
      <c r="G141" s="411" t="s">
        <v>38</v>
      </c>
      <c r="H141" s="142" t="s">
        <f>=D138</f>
        <v>42</v>
      </c>
      <c r="I141" s="412">
        <f>=M140</f>
        <v>45819</v>
      </c>
      <c r="J141" s="412">
        <f>=I141+L141</f>
        <v>45909</v>
      </c>
      <c r="K141" s="412">
        <f>=J141</f>
        <v>45909</v>
      </c>
      <c r="L141" s="413">
        <v>90</v>
      </c>
      <c r="M141" s="414" t="s"/>
      <c r="N141" s="415" t="s"/>
      <c r="O141" s="240">
        <f>=IF(M141="",TODAY()-J141,M141-J141)</f>
        <v>233</v>
      </c>
      <c r="P141" s="416" t="s">
        <f>=IF(O141&gt;0,"逾期","正常")</f>
        <v>21</v>
      </c>
      <c r="Q141" s="417" t="s">
        <v>168</v>
      </c>
      <c r="R141" s="418" t="s"/>
    </row>
    <row r="142" spans="1:18">
      <c r="A142" s="419" t="s">
        <v>169</v>
      </c>
      <c r="B142" s="374" t="s">
        <v>15</v>
      </c>
      <c r="C142" s="375" t="s">
        <v>170</v>
      </c>
      <c r="D142" s="376" t="s">
        <v>17</v>
      </c>
      <c r="E142" s="376" t="s">
        <v>18</v>
      </c>
      <c r="F142" s="377">
        <v>45714</v>
      </c>
      <c r="G142" s="378" t="s">
        <v>19</v>
      </c>
      <c r="H142" s="379" t="s">
        <v>41</v>
      </c>
      <c r="I142" s="120">
        <f>=F142</f>
        <v>45714</v>
      </c>
      <c r="J142" s="120">
        <v>45729</v>
      </c>
      <c r="K142" s="120">
        <v>45724</v>
      </c>
      <c r="L142" s="91">
        <f>=J142-I142</f>
        <v>15</v>
      </c>
      <c r="M142" s="380">
        <v>45723</v>
      </c>
      <c r="N142" s="381">
        <f>=M142-I142</f>
        <v>9</v>
      </c>
      <c r="O142" s="382">
        <f>=IF(M142="",TODAY()-J142,M142-J142)</f>
        <v>-6</v>
      </c>
      <c r="P142" s="131" t="s">
        <f>=IF(O142&gt;0,"逾期","正常")</f>
        <v>32</v>
      </c>
      <c r="Q142" s="383" t="s"/>
      <c r="R142" s="384" t="s"/>
    </row>
    <row r="143" spans="1:18">
      <c r="A143" s="385" t="s"/>
      <c r="B143" s="386" t="s"/>
      <c r="C143" s="387" t="s"/>
      <c r="D143" s="420" t="s">
        <v>65</v>
      </c>
      <c r="E143" s="389" t="s">
        <v>23</v>
      </c>
      <c r="F143" s="390">
        <f>=F144-F142</f>
        <v>50</v>
      </c>
      <c r="G143" s="402" t="s">
        <v>24</v>
      </c>
      <c r="H143" s="421" t="s">
        <v>25</v>
      </c>
      <c r="I143" s="134">
        <f>=M142</f>
        <v>45723</v>
      </c>
      <c r="J143" s="134">
        <f>=F144</f>
        <v>45764</v>
      </c>
      <c r="K143" s="134">
        <f>=J143</f>
        <v>45764</v>
      </c>
      <c r="L143" s="422">
        <f>=J143-I143</f>
        <v>41</v>
      </c>
      <c r="M143" s="406">
        <v>45733</v>
      </c>
      <c r="N143" s="423">
        <f>=M143-I143</f>
        <v>10</v>
      </c>
      <c r="O143" s="240">
        <f>=IF(M143="",TODAY()-J143,M143-J143)</f>
        <v>-31</v>
      </c>
      <c r="P143" s="131" t="s">
        <f>=IF(O143&gt;0,"逾期","正常")</f>
        <v>32</v>
      </c>
      <c r="Q143" s="396" t="s">
        <v>171</v>
      </c>
      <c r="R143" s="397" t="s"/>
    </row>
    <row r="144" spans="1:18">
      <c r="A144" s="385" t="s"/>
      <c r="B144" s="386" t="s"/>
      <c r="C144" s="387" t="s"/>
      <c r="D144" s="389" t="s">
        <v>28</v>
      </c>
      <c r="E144" s="389" t="s">
        <v>29</v>
      </c>
      <c r="F144" s="398">
        <v>45764</v>
      </c>
      <c r="G144" s="391" t="s">
        <v>30</v>
      </c>
      <c r="H144" s="392" t="s">
        <v>31</v>
      </c>
      <c r="I144" s="126">
        <f>=M143</f>
        <v>45733</v>
      </c>
      <c r="J144" s="126">
        <f>=I144+L144</f>
        <v>45740</v>
      </c>
      <c r="K144" s="126">
        <f>=J144</f>
        <v>45740</v>
      </c>
      <c r="L144" s="393">
        <v>7</v>
      </c>
      <c r="M144" s="394">
        <v>45749</v>
      </c>
      <c r="N144" s="423">
        <f>=M144-I144</f>
        <v>16</v>
      </c>
      <c r="O144" s="240">
        <f>=IF(M144="",TODAY()-J144,M144-J144)</f>
        <v>9</v>
      </c>
      <c r="P144" s="131" t="s">
        <f>=IF(O144&gt;0,"逾期","正常")</f>
        <v>21</v>
      </c>
      <c r="Q144" s="396" t="s">
        <v>172</v>
      </c>
      <c r="R144" s="397" t="s"/>
    </row>
    <row r="145" spans="1:18">
      <c r="A145" s="385" t="s"/>
      <c r="B145" s="386" t="s"/>
      <c r="C145" s="387" t="s"/>
      <c r="D145" s="389" t="s">
        <v>46</v>
      </c>
      <c r="E145" s="389" t="s">
        <v>34</v>
      </c>
      <c r="F145" s="136">
        <f>=IF(M143="",TODAY()-F142,M143-F142)</f>
        <v>19</v>
      </c>
      <c r="G145" s="424" t="s">
        <v>35</v>
      </c>
      <c r="H145" s="425" t="s">
        <v>104</v>
      </c>
      <c r="I145" s="426">
        <f>=M144</f>
        <v>45749</v>
      </c>
      <c r="J145" s="426">
        <f>=I145+L145</f>
        <v>45809</v>
      </c>
      <c r="K145" s="426">
        <f>=J145</f>
        <v>45809</v>
      </c>
      <c r="L145" s="427">
        <v>60</v>
      </c>
      <c r="M145" s="428" t="s"/>
      <c r="N145" s="423" t="s"/>
      <c r="O145" s="240">
        <f>=IF(M145="",TODAY()-J145,M145-J145)</f>
        <v>333</v>
      </c>
      <c r="P145" s="131" t="s">
        <f>=IF(O145&gt;0,"逾期","正常")</f>
        <v>21</v>
      </c>
      <c r="Q145" s="396" t="s">
        <v>173</v>
      </c>
      <c r="R145" s="397" t="s"/>
    </row>
    <row r="146" spans="1:18">
      <c r="A146" s="385" t="s"/>
      <c r="B146" s="408" t="s"/>
      <c r="C146" s="409" t="s"/>
      <c r="D146" s="410" t="s">
        <v>36</v>
      </c>
      <c r="E146" s="410" t="s">
        <v>37</v>
      </c>
      <c r="F146" s="140">
        <v>0.8406</v>
      </c>
      <c r="G146" s="429" t="s">
        <v>38</v>
      </c>
      <c r="H146" s="139" t="s">
        <f>=D143</f>
        <v>65</v>
      </c>
      <c r="I146" s="430" t="s"/>
      <c r="J146" s="430" t="s"/>
      <c r="K146" s="430" t="s"/>
      <c r="L146" s="431">
        <v>90</v>
      </c>
      <c r="M146" s="432" t="s"/>
      <c r="N146" s="415" t="s"/>
      <c r="O146" s="240" t="s"/>
      <c r="P146" s="433" t="s">
        <f>=IF(O146&gt;0,"逾期","正常")</f>
        <v>32</v>
      </c>
      <c r="Q146" s="417" t="s"/>
      <c r="R146" s="418" t="s"/>
    </row>
    <row r="147" spans="1:18">
      <c r="A147" s="373" t="s">
        <v>174</v>
      </c>
      <c r="B147" s="374" t="s">
        <v>32</v>
      </c>
      <c r="C147" s="375" t="s">
        <v>108</v>
      </c>
      <c r="D147" s="376" t="s">
        <v>17</v>
      </c>
      <c r="E147" s="376" t="s">
        <v>18</v>
      </c>
      <c r="F147" s="377">
        <v>45714</v>
      </c>
      <c r="G147" s="378" t="s">
        <v>19</v>
      </c>
      <c r="H147" s="379" t="s">
        <v>20</v>
      </c>
      <c r="I147" s="120">
        <f>=F147</f>
        <v>45714</v>
      </c>
      <c r="J147" s="120">
        <v>45729</v>
      </c>
      <c r="K147" s="120">
        <v>45724</v>
      </c>
      <c r="L147" s="91">
        <f>=J147-I147</f>
        <v>15</v>
      </c>
      <c r="M147" s="380">
        <v>45724</v>
      </c>
      <c r="N147" s="381">
        <f>=M147-I147</f>
        <v>10</v>
      </c>
      <c r="O147" s="382">
        <f>=IF(M147="",TODAY()-J147,M147-J147)</f>
        <v>-5</v>
      </c>
      <c r="P147" s="131" t="s">
        <f>=IF(O147&gt;0,"逾期","正常")</f>
        <v>32</v>
      </c>
      <c r="Q147" s="383" t="s"/>
      <c r="R147" s="384" t="s"/>
    </row>
    <row r="148" spans="1:18">
      <c r="A148" s="385" t="s"/>
      <c r="B148" s="386" t="s"/>
      <c r="C148" s="387" t="s"/>
      <c r="D148" s="420" t="s">
        <v>22</v>
      </c>
      <c r="E148" s="389" t="s">
        <v>23</v>
      </c>
      <c r="F148" s="390">
        <f>=F149-F147</f>
        <v>30</v>
      </c>
      <c r="G148" s="402" t="s">
        <v>24</v>
      </c>
      <c r="H148" s="421" t="s">
        <v>50</v>
      </c>
      <c r="I148" s="134">
        <f>=M147</f>
        <v>45724</v>
      </c>
      <c r="J148" s="134">
        <f>=F149</f>
        <v>45744</v>
      </c>
      <c r="K148" s="134">
        <f>=J148</f>
        <v>45744</v>
      </c>
      <c r="L148" s="422">
        <f>=J148-I148</f>
        <v>20</v>
      </c>
      <c r="M148" s="406">
        <v>45743</v>
      </c>
      <c r="N148" s="434">
        <f>=M148-I148</f>
        <v>19</v>
      </c>
      <c r="O148" s="69">
        <f>=IF(M148="",TODAY()-J148,M148-J148)</f>
        <v>-1</v>
      </c>
      <c r="P148" s="131" t="s">
        <f>=IF(O148&gt;0,"逾期","正常")</f>
        <v>32</v>
      </c>
      <c r="Q148" s="396" t="s">
        <v>175</v>
      </c>
      <c r="R148" s="397" t="s"/>
    </row>
    <row r="149" spans="1:18">
      <c r="A149" s="385" t="s"/>
      <c r="B149" s="386" t="s"/>
      <c r="C149" s="387" t="s"/>
      <c r="D149" s="389" t="s">
        <v>28</v>
      </c>
      <c r="E149" s="389" t="s">
        <v>29</v>
      </c>
      <c r="F149" s="398">
        <v>45744</v>
      </c>
      <c r="G149" s="424" t="s">
        <v>30</v>
      </c>
      <c r="H149" s="435" t="s">
        <v>31</v>
      </c>
      <c r="I149" s="186">
        <f>=M148</f>
        <v>45743</v>
      </c>
      <c r="J149" s="186">
        <f>=I149+L149</f>
        <v>45750</v>
      </c>
      <c r="K149" s="186">
        <f>=J149</f>
        <v>45750</v>
      </c>
      <c r="L149" s="436">
        <v>7</v>
      </c>
      <c r="M149" s="428" t="s"/>
      <c r="N149" s="395" t="s"/>
      <c r="O149" s="240">
        <f>=IF(M149="",TODAY()-J149,M149-J149)</f>
        <v>400</v>
      </c>
      <c r="P149" s="131" t="s">
        <f>=IF(O149&gt;0,"逾期","正常")</f>
        <v>21</v>
      </c>
      <c r="Q149" s="396" t="s">
        <v>176</v>
      </c>
      <c r="R149" s="397" t="s"/>
    </row>
    <row r="150" spans="1:18">
      <c r="A150" s="385" t="s"/>
      <c r="B150" s="386" t="s"/>
      <c r="C150" s="387" t="s"/>
      <c r="D150" s="437" t="s">
        <v>51</v>
      </c>
      <c r="E150" s="437" t="s">
        <v>34</v>
      </c>
      <c r="F150" s="136">
        <f>=IF(M148="",TODAY()-F147,M148-F147)</f>
        <v>29</v>
      </c>
      <c r="G150" s="402" t="s">
        <v>35</v>
      </c>
      <c r="H150" s="403" t="s"/>
      <c r="I150" s="404" t="s"/>
      <c r="J150" s="404" t="s"/>
      <c r="K150" s="404" t="s"/>
      <c r="L150" s="405" t="s"/>
      <c r="M150" s="406" t="s"/>
      <c r="N150" s="403" t="s"/>
      <c r="O150" s="69" t="s"/>
      <c r="P150" s="438" t="s">
        <f>=IF(O150&gt;0,"逾期","正常")</f>
        <v>32</v>
      </c>
      <c r="Q150" s="439" t="s"/>
      <c r="R150" s="440" t="s"/>
    </row>
    <row r="151" spans="1:18">
      <c r="A151" s="385" t="s"/>
      <c r="B151" s="408" t="s"/>
      <c r="C151" s="409" t="s"/>
      <c r="D151" s="441" t="s">
        <v>36</v>
      </c>
      <c r="E151" s="441" t="s">
        <v>37</v>
      </c>
      <c r="F151" s="140">
        <v>0.4848</v>
      </c>
      <c r="G151" s="442" t="s">
        <v>38</v>
      </c>
      <c r="H151" s="171" t="s">
        <f>=D148</f>
        <v>22</v>
      </c>
      <c r="I151" s="443" t="s"/>
      <c r="J151" s="443" t="s"/>
      <c r="K151" s="443" t="s"/>
      <c r="L151" s="444">
        <v>90</v>
      </c>
      <c r="M151" s="445" t="s"/>
      <c r="N151" s="446" t="s"/>
      <c r="O151" s="69" t="s"/>
      <c r="P151" s="447" t="s">
        <f>=IF(O151&gt;0,"逾期","正常")</f>
        <v>32</v>
      </c>
      <c r="Q151" s="448" t="s"/>
      <c r="R151" s="449" t="s"/>
    </row>
    <row r="152" spans="1:18">
      <c r="A152" s="373" t="s">
        <v>177</v>
      </c>
      <c r="B152" s="374" t="s">
        <v>32</v>
      </c>
      <c r="C152" s="375" t="s">
        <v>178</v>
      </c>
      <c r="D152" s="376" t="s">
        <v>17</v>
      </c>
      <c r="E152" s="376" t="s">
        <v>18</v>
      </c>
      <c r="F152" s="377">
        <v>45716</v>
      </c>
      <c r="G152" s="378" t="s">
        <v>19</v>
      </c>
      <c r="H152" s="379" t="s">
        <v>49</v>
      </c>
      <c r="I152" s="120">
        <f>=F152</f>
        <v>45716</v>
      </c>
      <c r="J152" s="120">
        <v>45731</v>
      </c>
      <c r="K152" s="120">
        <v>45726</v>
      </c>
      <c r="L152" s="91">
        <f>=J152-I152</f>
        <v>15</v>
      </c>
      <c r="M152" s="380">
        <v>45722</v>
      </c>
      <c r="N152" s="381">
        <f>=M152-I152</f>
        <v>6</v>
      </c>
      <c r="O152" s="382">
        <f>=IF(M152="",TODAY()-J152,M152-J152)</f>
        <v>-9</v>
      </c>
      <c r="P152" s="131" t="s">
        <f>=IF(O152&gt;0,"逾期","正常")</f>
        <v>32</v>
      </c>
      <c r="Q152" s="383" t="s">
        <v>179</v>
      </c>
      <c r="R152" s="384" t="s"/>
    </row>
    <row r="153" spans="1:18">
      <c r="A153" s="385" t="s"/>
      <c r="B153" s="386" t="s"/>
      <c r="C153" s="387" t="s"/>
      <c r="D153" s="420" t="s">
        <v>180</v>
      </c>
      <c r="E153" s="389" t="s">
        <v>23</v>
      </c>
      <c r="F153" s="390">
        <f>=F154-F152</f>
        <v>34</v>
      </c>
      <c r="G153" s="399" t="s">
        <v>24</v>
      </c>
      <c r="H153" s="392" t="s">
        <v>50</v>
      </c>
      <c r="I153" s="126">
        <f>=M152</f>
        <v>45722</v>
      </c>
      <c r="J153" s="126">
        <f>=F154</f>
        <v>45750</v>
      </c>
      <c r="K153" s="126">
        <f>=J153</f>
        <v>45750</v>
      </c>
      <c r="L153" s="393">
        <f>=J153-I153</f>
        <v>28</v>
      </c>
      <c r="M153" s="394">
        <v>46087</v>
      </c>
      <c r="N153" s="450">
        <f>=M153-I153</f>
        <v>365</v>
      </c>
      <c r="O153" s="240">
        <f>=IF(M153="",TODAY()-J153,M153-J153)</f>
        <v>337</v>
      </c>
      <c r="P153" s="131" t="s">
        <f>=IF(O153&gt;0,"逾期","正常")</f>
        <v>21</v>
      </c>
      <c r="Q153" s="396" t="s">
        <v>181</v>
      </c>
      <c r="R153" s="397" t="s"/>
    </row>
    <row r="154" spans="1:18">
      <c r="A154" s="385" t="s"/>
      <c r="B154" s="386" t="s"/>
      <c r="C154" s="387" t="s"/>
      <c r="D154" s="389" t="s">
        <v>28</v>
      </c>
      <c r="E154" s="389" t="s">
        <v>29</v>
      </c>
      <c r="F154" s="398">
        <v>45750</v>
      </c>
      <c r="G154" s="437" t="s">
        <v>30</v>
      </c>
      <c r="H154" s="451" t="s">
        <v>31</v>
      </c>
      <c r="I154" s="452">
        <f>=M153</f>
        <v>46087</v>
      </c>
      <c r="J154" s="452">
        <f>=I154+L154</f>
        <v>46094</v>
      </c>
      <c r="K154" s="452">
        <f>=J154</f>
        <v>46094</v>
      </c>
      <c r="L154" s="453">
        <v>7</v>
      </c>
      <c r="M154" s="454">
        <v>46090</v>
      </c>
      <c r="N154" s="450">
        <f>=M154-I154</f>
        <v>3</v>
      </c>
      <c r="O154" s="240">
        <f>=IF(M154="",TODAY()-J154,M154-J154)</f>
        <v>-4</v>
      </c>
      <c r="P154" s="131" t="s">
        <f>=IF(O154&gt;0,"逾期","正常")</f>
        <v>32</v>
      </c>
      <c r="Q154" s="396" t="s"/>
      <c r="R154" s="397" t="s"/>
    </row>
    <row r="155" spans="1:18">
      <c r="A155" s="385" t="s"/>
      <c r="B155" s="386" t="s"/>
      <c r="C155" s="387" t="s"/>
      <c r="D155" s="389" t="s">
        <v>46</v>
      </c>
      <c r="E155" s="389" t="s">
        <v>34</v>
      </c>
      <c r="F155" s="136">
        <f>=IF(M153="",TODAY()-F152,M153-F152)</f>
        <v>371</v>
      </c>
      <c r="G155" s="402" t="s">
        <v>35</v>
      </c>
      <c r="H155" s="403" t="s">
        <v>104</v>
      </c>
      <c r="I155" s="404">
        <f>=M154</f>
        <v>46090</v>
      </c>
      <c r="J155" s="404">
        <f>=I155+L155</f>
        <v>46095</v>
      </c>
      <c r="K155" s="404">
        <f>=J155</f>
        <v>46095</v>
      </c>
      <c r="L155" s="405">
        <v>5</v>
      </c>
      <c r="M155" s="455">
        <v>46095</v>
      </c>
      <c r="N155" s="456">
        <f>=M155-I155</f>
        <v>5</v>
      </c>
      <c r="O155" s="240">
        <f>=IF(M155="",TODAY()-J155,M155-J155)</f>
        <v>0</v>
      </c>
      <c r="P155" s="131" t="s">
        <f>=IF(O155&gt;0,"逾期","正常")</f>
        <v>32</v>
      </c>
      <c r="Q155" s="396" t="s">
        <v>182</v>
      </c>
      <c r="R155" s="397" t="s"/>
    </row>
    <row r="156" spans="1:18">
      <c r="A156" s="385" t="s"/>
      <c r="B156" s="408" t="s"/>
      <c r="C156" s="409" t="s"/>
      <c r="D156" s="410" t="s">
        <v>36</v>
      </c>
      <c r="E156" s="410" t="s">
        <v>37</v>
      </c>
      <c r="F156" s="140">
        <v>0.83</v>
      </c>
      <c r="G156" s="457" t="s">
        <v>38</v>
      </c>
      <c r="H156" s="458" t="s">
        <f>=D153</f>
        <v>180</v>
      </c>
      <c r="I156" s="459">
        <f>=M155</f>
        <v>46095</v>
      </c>
      <c r="J156" s="459">
        <f>=I156+L156</f>
        <v>46185</v>
      </c>
      <c r="K156" s="459">
        <f>=J156</f>
        <v>46185</v>
      </c>
      <c r="L156" s="460">
        <v>90</v>
      </c>
      <c r="M156" s="461" t="s"/>
      <c r="N156" s="415" t="s"/>
      <c r="O156" s="240">
        <f>=IF(M156="",TODAY()-J156,M156-J156)</f>
        <v>-43</v>
      </c>
      <c r="P156" s="462" t="s">
        <f>=IF(O156&gt;0,"逾期","正常")</f>
        <v>32</v>
      </c>
      <c r="Q156" s="417" t="s"/>
      <c r="R156" s="418" t="s"/>
    </row>
    <row r="157" spans="1:18">
      <c r="A157" s="463" t="s">
        <v>183</v>
      </c>
      <c r="B157" s="374" t="s">
        <v>32</v>
      </c>
      <c r="C157" s="375" t="s">
        <v>184</v>
      </c>
      <c r="D157" s="464" t="s">
        <v>17</v>
      </c>
      <c r="E157" s="464" t="s">
        <v>18</v>
      </c>
      <c r="F157" s="465">
        <v>45720</v>
      </c>
      <c r="G157" s="378" t="s">
        <v>19</v>
      </c>
      <c r="H157" s="379" t="s">
        <v>41</v>
      </c>
      <c r="I157" s="120">
        <f>=F157</f>
        <v>45720</v>
      </c>
      <c r="J157" s="120">
        <v>45725</v>
      </c>
      <c r="K157" s="120">
        <v>45725</v>
      </c>
      <c r="L157" s="91">
        <f>=J157-I157</f>
        <v>5</v>
      </c>
      <c r="M157" s="380">
        <v>45723</v>
      </c>
      <c r="N157" s="381">
        <f>=M157-I157</f>
        <v>3</v>
      </c>
      <c r="O157" s="382">
        <f>=IF(M157="",TODAY()-J157,M157-J157)</f>
        <v>-2</v>
      </c>
      <c r="P157" s="131" t="s">
        <f>=IF(O157&gt;0,"逾期","正常")</f>
        <v>32</v>
      </c>
      <c r="Q157" s="383" t="s"/>
      <c r="R157" s="384" t="s"/>
    </row>
    <row r="158" spans="1:18">
      <c r="A158" s="466" t="s"/>
      <c r="B158" s="386" t="s"/>
      <c r="C158" s="387" t="s"/>
      <c r="D158" s="420" t="s">
        <v>65</v>
      </c>
      <c r="E158" s="389" t="s">
        <v>23</v>
      </c>
      <c r="F158" s="390">
        <f>=F159-F157</f>
        <v>30</v>
      </c>
      <c r="G158" s="391" t="s">
        <v>24</v>
      </c>
      <c r="H158" s="392" t="s">
        <v>50</v>
      </c>
      <c r="I158" s="126">
        <f>=M157</f>
        <v>45723</v>
      </c>
      <c r="J158" s="126">
        <f>=F159</f>
        <v>45750</v>
      </c>
      <c r="K158" s="126">
        <f>=J158</f>
        <v>45750</v>
      </c>
      <c r="L158" s="393">
        <f>=J158-I158</f>
        <v>27</v>
      </c>
      <c r="M158" s="394">
        <v>45754</v>
      </c>
      <c r="N158" s="395">
        <f>=M158-I158</f>
        <v>31</v>
      </c>
      <c r="O158" s="240">
        <f>=IF(M158="",TODAY()-J158,M158-J158)</f>
        <v>4</v>
      </c>
      <c r="P158" s="131" t="s">
        <f>=IF(O158&gt;0,"逾期","正常")</f>
        <v>21</v>
      </c>
      <c r="Q158" s="396" t="s"/>
      <c r="R158" s="397" t="s"/>
    </row>
    <row r="159" spans="1:18">
      <c r="A159" s="466" t="s"/>
      <c r="B159" s="386" t="s"/>
      <c r="C159" s="387" t="s"/>
      <c r="D159" s="389" t="s">
        <v>28</v>
      </c>
      <c r="E159" s="389" t="s">
        <v>29</v>
      </c>
      <c r="F159" s="398">
        <v>45750</v>
      </c>
      <c r="G159" s="391" t="s">
        <v>30</v>
      </c>
      <c r="H159" s="392" t="s">
        <v>31</v>
      </c>
      <c r="I159" s="400">
        <f>=M158</f>
        <v>45754</v>
      </c>
      <c r="J159" s="400">
        <f>=I159+L159</f>
        <v>45761</v>
      </c>
      <c r="K159" s="400">
        <f>=J159</f>
        <v>45761</v>
      </c>
      <c r="L159" s="401">
        <v>7</v>
      </c>
      <c r="M159" s="394">
        <v>45782</v>
      </c>
      <c r="N159" s="395">
        <f>=M159-I159</f>
        <v>28</v>
      </c>
      <c r="O159" s="240">
        <f>=IF(M159="",TODAY()-J159,M159-J159)</f>
        <v>21</v>
      </c>
      <c r="P159" s="131" t="s">
        <f>=IF(O159&gt;0,"逾期","正常")</f>
        <v>21</v>
      </c>
      <c r="Q159" s="396" t="s">
        <v>185</v>
      </c>
      <c r="R159" s="397" t="s"/>
    </row>
    <row r="160" spans="1:18">
      <c r="A160" s="466" t="s"/>
      <c r="B160" s="386" t="s"/>
      <c r="C160" s="387" t="s"/>
      <c r="D160" s="389" t="s">
        <v>33</v>
      </c>
      <c r="E160" s="389" t="s">
        <v>34</v>
      </c>
      <c r="F160" s="136">
        <f>=IF(M158="",TODAY()-F157,M158-F157)</f>
        <v>34</v>
      </c>
      <c r="G160" s="391" t="s">
        <v>35</v>
      </c>
      <c r="H160" s="467" t="s">
        <v>80</v>
      </c>
      <c r="I160" s="400">
        <f>=M159</f>
        <v>45782</v>
      </c>
      <c r="J160" s="400">
        <f>=I160+L160</f>
        <v>45794</v>
      </c>
      <c r="K160" s="400">
        <f>=J160</f>
        <v>45794</v>
      </c>
      <c r="L160" s="401">
        <v>12</v>
      </c>
      <c r="M160" s="394">
        <v>45790</v>
      </c>
      <c r="N160" s="407">
        <f>=M160-I160</f>
        <v>8</v>
      </c>
      <c r="O160" s="240">
        <f>=IF(M160="",TODAY()-J160,M160-J160)</f>
        <v>-4</v>
      </c>
      <c r="P160" s="131" t="s">
        <f>=IF(O160&gt;0,"逾期","正常")</f>
        <v>32</v>
      </c>
      <c r="Q160" s="396" t="s"/>
      <c r="R160" s="397" t="s"/>
    </row>
    <row r="161" spans="1:18">
      <c r="A161" s="468" t="s"/>
      <c r="B161" s="408" t="s"/>
      <c r="C161" s="409" t="s"/>
      <c r="D161" s="410" t="s">
        <v>36</v>
      </c>
      <c r="E161" s="410" t="s">
        <v>37</v>
      </c>
      <c r="F161" s="140">
        <v>0.8</v>
      </c>
      <c r="G161" s="411" t="s">
        <v>38</v>
      </c>
      <c r="H161" s="142" t="s">
        <f>=D158</f>
        <v>65</v>
      </c>
      <c r="I161" s="412">
        <f>=M160</f>
        <v>45790</v>
      </c>
      <c r="J161" s="412">
        <f>=I161+L161</f>
        <v>45880</v>
      </c>
      <c r="K161" s="412">
        <f>=J161</f>
        <v>45880</v>
      </c>
      <c r="L161" s="413">
        <v>90</v>
      </c>
      <c r="M161" s="414" t="s"/>
      <c r="N161" s="415" t="s"/>
      <c r="O161" s="240">
        <f>=IF(M161="",TODAY()-J161,M161-J161)</f>
        <v>262</v>
      </c>
      <c r="P161" s="462" t="s">
        <f>=IF(O161&gt;0,"逾期","正常")</f>
        <v>21</v>
      </c>
      <c r="Q161" s="417" t="s"/>
      <c r="R161" s="418" t="s"/>
    </row>
    <row r="162" spans="1:18">
      <c r="A162" s="373" t="s">
        <v>186</v>
      </c>
      <c r="B162" s="374" t="s">
        <v>32</v>
      </c>
      <c r="C162" s="375" t="s">
        <v>187</v>
      </c>
      <c r="D162" s="376" t="s">
        <v>17</v>
      </c>
      <c r="E162" s="376" t="s">
        <v>18</v>
      </c>
      <c r="F162" s="377">
        <v>45721</v>
      </c>
      <c r="G162" s="378" t="s">
        <v>19</v>
      </c>
      <c r="H162" s="379" t="s">
        <v>41</v>
      </c>
      <c r="I162" s="120">
        <f>=F162</f>
        <v>45721</v>
      </c>
      <c r="J162" s="120">
        <v>45783</v>
      </c>
      <c r="K162" s="120">
        <v>45783</v>
      </c>
      <c r="L162" s="91">
        <f>=J162-I162</f>
        <v>62</v>
      </c>
      <c r="M162" s="380">
        <v>45783</v>
      </c>
      <c r="N162" s="162">
        <f>=M162-I162</f>
        <v>62</v>
      </c>
      <c r="O162" s="382">
        <f>=IF(M162="",TODAY()-J162,M162-J162)</f>
        <v>0</v>
      </c>
      <c r="P162" s="131" t="s">
        <f>=IF(O162&gt;0,"逾期","正常")</f>
        <v>32</v>
      </c>
      <c r="Q162" s="383" t="s">
        <v>188</v>
      </c>
      <c r="R162" s="384" t="s"/>
    </row>
    <row r="163" spans="1:18">
      <c r="A163" s="385" t="s"/>
      <c r="B163" s="386" t="s"/>
      <c r="C163" s="387" t="s"/>
      <c r="D163" s="420" t="s">
        <v>72</v>
      </c>
      <c r="E163" s="389" t="s">
        <v>23</v>
      </c>
      <c r="F163" s="390">
        <f>=F164-F162</f>
        <v>134</v>
      </c>
      <c r="G163" s="402" t="s">
        <v>24</v>
      </c>
      <c r="H163" s="421" t="s">
        <v>50</v>
      </c>
      <c r="I163" s="134">
        <f>=M162</f>
        <v>45783</v>
      </c>
      <c r="J163" s="134">
        <f>=F164</f>
        <v>45855</v>
      </c>
      <c r="K163" s="134">
        <f>=J163</f>
        <v>45855</v>
      </c>
      <c r="L163" s="422">
        <f>=J163-I163</f>
        <v>72</v>
      </c>
      <c r="M163" s="406">
        <v>45884</v>
      </c>
      <c r="N163" s="395">
        <f>=M163-I163</f>
        <v>101</v>
      </c>
      <c r="O163" s="240">
        <f>=IF(M163="",TODAY()-J163,M163-J163)</f>
        <v>29</v>
      </c>
      <c r="P163" s="131" t="s">
        <f>=IF(O163&gt;0,"逾期","正常")</f>
        <v>21</v>
      </c>
      <c r="Q163" s="396" t="s">
        <v>189</v>
      </c>
      <c r="R163" s="397" t="s"/>
    </row>
    <row r="164" spans="1:18">
      <c r="A164" s="385" t="s"/>
      <c r="B164" s="386" t="s"/>
      <c r="C164" s="387" t="s"/>
      <c r="D164" s="389" t="s">
        <v>28</v>
      </c>
      <c r="E164" s="389" t="s">
        <v>29</v>
      </c>
      <c r="F164" s="398">
        <v>45855</v>
      </c>
      <c r="G164" s="402" t="s">
        <v>30</v>
      </c>
      <c r="H164" s="421" t="s">
        <v>31</v>
      </c>
      <c r="I164" s="404">
        <f>=M163</f>
        <v>45884</v>
      </c>
      <c r="J164" s="404">
        <f>=I164+L164</f>
        <v>45891</v>
      </c>
      <c r="K164" s="404">
        <f>=J164</f>
        <v>45891</v>
      </c>
      <c r="L164" s="405">
        <v>7</v>
      </c>
      <c r="M164" s="406">
        <v>45909</v>
      </c>
      <c r="N164" s="395">
        <f>=M164-I164</f>
        <v>25</v>
      </c>
      <c r="O164" s="240">
        <f>=IF(M164="",TODAY()-J164,M164-J164)</f>
        <v>18</v>
      </c>
      <c r="P164" s="131" t="s">
        <f>=IF(O164&gt;0,"逾期","正常")</f>
        <v>21</v>
      </c>
      <c r="Q164" s="396" t="s">
        <v>190</v>
      </c>
      <c r="R164" s="397" t="s"/>
    </row>
    <row r="165" spans="1:18">
      <c r="A165" s="385" t="s"/>
      <c r="B165" s="386" t="s"/>
      <c r="C165" s="387" t="s"/>
      <c r="D165" s="389" t="s">
        <v>51</v>
      </c>
      <c r="E165" s="389" t="s">
        <v>34</v>
      </c>
      <c r="F165" s="136">
        <f>=IF(M163="",TODAY()-F162,M163-F162)</f>
        <v>163</v>
      </c>
      <c r="G165" s="469" t="s">
        <v>35</v>
      </c>
      <c r="H165" s="470" t="s">
        <v>80</v>
      </c>
      <c r="I165" s="471">
        <v>45909</v>
      </c>
      <c r="J165" s="471">
        <f>=I165+L165</f>
        <v>46274</v>
      </c>
      <c r="K165" s="471">
        <f>=J165</f>
        <v>46274</v>
      </c>
      <c r="L165" s="472">
        <v>365</v>
      </c>
      <c r="M165" s="473" t="s"/>
      <c r="N165" s="423" t="s"/>
      <c r="O165" s="240">
        <f>=IF(M165="",TODAY()-J165,M165-J165)</f>
        <v>-124</v>
      </c>
      <c r="P165" s="131" t="s">
        <f>=IF(O165&gt;0,"逾期","正常")</f>
        <v>32</v>
      </c>
      <c r="Q165" s="396" t="s">
        <v>191</v>
      </c>
      <c r="R165" s="397" t="s"/>
    </row>
    <row r="166" spans="1:18">
      <c r="A166" s="385" t="s"/>
      <c r="B166" s="408" t="s"/>
      <c r="C166" s="409" t="s"/>
      <c r="D166" s="410" t="s">
        <v>36</v>
      </c>
      <c r="E166" s="410" t="s">
        <v>37</v>
      </c>
      <c r="F166" s="140">
        <v>0.6</v>
      </c>
      <c r="G166" s="429" t="s">
        <v>38</v>
      </c>
      <c r="H166" s="139" t="s">
        <f>=D163</f>
        <v>72</v>
      </c>
      <c r="I166" s="430" t="s"/>
      <c r="J166" s="430" t="s"/>
      <c r="K166" s="430" t="s"/>
      <c r="L166" s="431">
        <v>90</v>
      </c>
      <c r="M166" s="432" t="s"/>
      <c r="N166" s="415" t="s"/>
      <c r="O166" s="240" t="s"/>
      <c r="P166" s="462" t="s">
        <f>=IF(O166&gt;0,"逾期","正常")</f>
        <v>32</v>
      </c>
      <c r="Q166" s="417" t="s"/>
      <c r="R166" s="418" t="s"/>
    </row>
    <row r="167" spans="1:18">
      <c r="A167" s="373" t="s">
        <v>192</v>
      </c>
      <c r="B167" s="374" t="s">
        <v>32</v>
      </c>
      <c r="C167" s="375" t="s">
        <v>184</v>
      </c>
      <c r="D167" s="376" t="s">
        <v>17</v>
      </c>
      <c r="E167" s="376" t="s">
        <v>18</v>
      </c>
      <c r="F167" s="377">
        <v>45723</v>
      </c>
      <c r="G167" s="378" t="s">
        <v>19</v>
      </c>
      <c r="H167" s="379" t="s">
        <v>63</v>
      </c>
      <c r="I167" s="120">
        <f>=F167</f>
        <v>45723</v>
      </c>
      <c r="J167" s="120">
        <v>45738</v>
      </c>
      <c r="K167" s="120">
        <v>45733</v>
      </c>
      <c r="L167" s="91">
        <f>=J167-I167</f>
        <v>15</v>
      </c>
      <c r="M167" s="380">
        <v>45744</v>
      </c>
      <c r="N167" s="474">
        <f>=M167-I167</f>
        <v>21</v>
      </c>
      <c r="O167" s="382">
        <f>=IF(M167="",TODAY()-J167,M167-J167)</f>
        <v>6</v>
      </c>
      <c r="P167" s="131" t="s">
        <f>=IF(O167&gt;0,"逾期","正常")</f>
        <v>21</v>
      </c>
      <c r="Q167" s="383" t="s">
        <v>193</v>
      </c>
      <c r="R167" s="384" t="s"/>
    </row>
    <row r="168" spans="1:18">
      <c r="A168" s="385" t="s"/>
      <c r="B168" s="386" t="s"/>
      <c r="C168" s="387" t="s"/>
      <c r="D168" s="420" t="s">
        <v>72</v>
      </c>
      <c r="E168" s="389" t="s">
        <v>23</v>
      </c>
      <c r="F168" s="390">
        <f>=F169-F167</f>
        <v>34</v>
      </c>
      <c r="G168" s="391" t="s">
        <v>24</v>
      </c>
      <c r="H168" s="392" t="s">
        <v>50</v>
      </c>
      <c r="I168" s="126">
        <f>=M167</f>
        <v>45744</v>
      </c>
      <c r="J168" s="126">
        <f>=I168+L168</f>
        <v>45757</v>
      </c>
      <c r="K168" s="126">
        <f>=J168</f>
        <v>45757</v>
      </c>
      <c r="L168" s="393">
        <v>13</v>
      </c>
      <c r="M168" s="394">
        <v>45757</v>
      </c>
      <c r="N168" s="395">
        <f>=M168-I168</f>
        <v>13</v>
      </c>
      <c r="O168" s="240">
        <f>=IF(M168="",TODAY()-J168,M168-J168)</f>
        <v>0</v>
      </c>
      <c r="P168" s="131" t="s">
        <f>=IF(O168&gt;0,"逾期","正常")</f>
        <v>32</v>
      </c>
      <c r="Q168" s="396" t="s"/>
      <c r="R168" s="397" t="s"/>
    </row>
    <row r="169" spans="1:18">
      <c r="A169" s="385" t="s"/>
      <c r="B169" s="386" t="s"/>
      <c r="C169" s="387" t="s"/>
      <c r="D169" s="389" t="s">
        <v>28</v>
      </c>
      <c r="E169" s="389" t="s">
        <v>29</v>
      </c>
      <c r="F169" s="398">
        <v>45757</v>
      </c>
      <c r="G169" s="399" t="s">
        <v>30</v>
      </c>
      <c r="H169" s="392" t="s">
        <v>31</v>
      </c>
      <c r="I169" s="400">
        <f>=M168</f>
        <v>45757</v>
      </c>
      <c r="J169" s="400">
        <f>=I169+L169</f>
        <v>45764</v>
      </c>
      <c r="K169" s="400">
        <f>=J169</f>
        <v>45764</v>
      </c>
      <c r="L169" s="401">
        <v>7</v>
      </c>
      <c r="M169" s="394">
        <v>45761</v>
      </c>
      <c r="N169" s="395">
        <f>=M169-I169</f>
        <v>4</v>
      </c>
      <c r="O169" s="240">
        <f>=IF(M169="",TODAY()-J169,M169-J169)</f>
        <v>-3</v>
      </c>
      <c r="P169" s="131" t="s">
        <f>=IF(O169&gt;0,"逾期","正常")</f>
        <v>32</v>
      </c>
      <c r="Q169" s="396" t="s"/>
      <c r="R169" s="397" t="s"/>
    </row>
    <row r="170" spans="1:18">
      <c r="A170" s="385" t="s"/>
      <c r="B170" s="386" t="s"/>
      <c r="C170" s="387" t="s"/>
      <c r="D170" s="389" t="s">
        <v>33</v>
      </c>
      <c r="E170" s="389" t="s">
        <v>34</v>
      </c>
      <c r="F170" s="136">
        <f>=IF(M168="",TODAY()-F167,M168-F167)</f>
        <v>34</v>
      </c>
      <c r="G170" s="391" t="s">
        <v>35</v>
      </c>
      <c r="H170" s="467" t="s">
        <v>110</v>
      </c>
      <c r="I170" s="400">
        <f>=M169</f>
        <v>45761</v>
      </c>
      <c r="J170" s="400">
        <f>=I170+L170</f>
        <v>45786</v>
      </c>
      <c r="K170" s="400">
        <f>=J170</f>
        <v>45786</v>
      </c>
      <c r="L170" s="475">
        <v>25</v>
      </c>
      <c r="M170" s="394">
        <v>45792</v>
      </c>
      <c r="N170" s="407">
        <f>=M170-I170</f>
        <v>31</v>
      </c>
      <c r="O170" s="240">
        <f>=IF(M170="",TODAY()-J170,M170-J170)</f>
        <v>6</v>
      </c>
      <c r="P170" s="131" t="s">
        <f>=IF(O170&gt;0,"逾期","正常")</f>
        <v>21</v>
      </c>
      <c r="Q170" s="476" t="s">
        <v>194</v>
      </c>
      <c r="R170" s="397" t="s"/>
    </row>
    <row r="171" spans="1:18">
      <c r="A171" s="385" t="s"/>
      <c r="B171" s="408" t="s"/>
      <c r="C171" s="409" t="s"/>
      <c r="D171" s="410" t="s">
        <v>36</v>
      </c>
      <c r="E171" s="410" t="s">
        <v>37</v>
      </c>
      <c r="F171" s="140">
        <v>0.9</v>
      </c>
      <c r="G171" s="411" t="s">
        <v>38</v>
      </c>
      <c r="H171" s="142" t="s">
        <f>=D168</f>
        <v>72</v>
      </c>
      <c r="I171" s="412">
        <f>=M170</f>
        <v>45792</v>
      </c>
      <c r="J171" s="412">
        <f>=I171+L171</f>
        <v>45882</v>
      </c>
      <c r="K171" s="412">
        <f>=J171</f>
        <v>45882</v>
      </c>
      <c r="L171" s="413">
        <v>90</v>
      </c>
      <c r="M171" s="414" t="s"/>
      <c r="N171" s="415" t="s"/>
      <c r="O171" s="240">
        <f>=IF(M171="",TODAY()-J171,M171-J171)</f>
        <v>260</v>
      </c>
      <c r="P171" s="462" t="s">
        <f>=IF(O171&gt;0,"逾期","正常")</f>
        <v>21</v>
      </c>
      <c r="Q171" s="417" t="s"/>
      <c r="R171" s="418" t="s"/>
    </row>
    <row r="172" spans="1:18">
      <c r="A172" s="373" t="s">
        <v>195</v>
      </c>
      <c r="B172" s="374" t="s">
        <v>15</v>
      </c>
      <c r="C172" s="375" t="s">
        <v>89</v>
      </c>
      <c r="D172" s="376" t="s">
        <v>17</v>
      </c>
      <c r="E172" s="376" t="s">
        <v>18</v>
      </c>
      <c r="F172" s="377">
        <v>45726</v>
      </c>
      <c r="G172" s="379" t="s">
        <v>19</v>
      </c>
      <c r="H172" s="379" t="s">
        <v>119</v>
      </c>
      <c r="I172" s="120">
        <f>=F172</f>
        <v>45726</v>
      </c>
      <c r="J172" s="120">
        <v>45741</v>
      </c>
      <c r="K172" s="120">
        <v>45736</v>
      </c>
      <c r="L172" s="91">
        <f>=J172-I172</f>
        <v>15</v>
      </c>
      <c r="M172" s="380">
        <v>45750</v>
      </c>
      <c r="N172" s="381">
        <f>=M172-I172</f>
        <v>24</v>
      </c>
      <c r="O172" s="382">
        <f>=IF(M172="",TODAY()-J172,M172-J172)</f>
        <v>9</v>
      </c>
      <c r="P172" s="131" t="s">
        <f>=IF(O172&gt;0,"逾期","正常")</f>
        <v>21</v>
      </c>
      <c r="Q172" s="383" t="s">
        <v>196</v>
      </c>
      <c r="R172" s="384" t="s"/>
    </row>
    <row r="173" spans="1:18">
      <c r="A173" s="385" t="s"/>
      <c r="B173" s="386" t="s"/>
      <c r="C173" s="387" t="s"/>
      <c r="D173" s="420" t="s">
        <v>22</v>
      </c>
      <c r="E173" s="389" t="s">
        <v>23</v>
      </c>
      <c r="F173" s="390">
        <f>=F174-F172</f>
        <v>34</v>
      </c>
      <c r="G173" s="392" t="s">
        <v>24</v>
      </c>
      <c r="H173" s="392" t="s">
        <v>50</v>
      </c>
      <c r="I173" s="126">
        <f>=M172</f>
        <v>45750</v>
      </c>
      <c r="J173" s="126">
        <f>=F174</f>
        <v>45760</v>
      </c>
      <c r="K173" s="126">
        <f>=J173</f>
        <v>45760</v>
      </c>
      <c r="L173" s="393">
        <f>=J173-I173</f>
        <v>10</v>
      </c>
      <c r="M173" s="394">
        <v>45784</v>
      </c>
      <c r="N173" s="395">
        <f>=M173-I173</f>
        <v>34</v>
      </c>
      <c r="O173" s="240">
        <f>=IF(M173="",TODAY()-J173,M173-J173)</f>
        <v>24</v>
      </c>
      <c r="P173" s="131" t="s">
        <f>=IF(O173&gt;0,"逾期","正常")</f>
        <v>21</v>
      </c>
      <c r="Q173" s="396" t="s">
        <v>197</v>
      </c>
      <c r="R173" s="397" t="s"/>
    </row>
    <row r="174" spans="1:18">
      <c r="A174" s="385" t="s"/>
      <c r="B174" s="386" t="s"/>
      <c r="C174" s="387" t="s"/>
      <c r="D174" s="389" t="s">
        <v>28</v>
      </c>
      <c r="E174" s="389" t="s">
        <v>29</v>
      </c>
      <c r="F174" s="398">
        <v>45760</v>
      </c>
      <c r="G174" s="392" t="s">
        <v>30</v>
      </c>
      <c r="H174" s="392" t="s">
        <v>31</v>
      </c>
      <c r="I174" s="400">
        <f>=M173</f>
        <v>45784</v>
      </c>
      <c r="J174" s="400">
        <f>=I174+L174</f>
        <v>45791</v>
      </c>
      <c r="K174" s="400">
        <f>=J174</f>
        <v>45791</v>
      </c>
      <c r="L174" s="401">
        <v>7</v>
      </c>
      <c r="M174" s="394">
        <v>45803</v>
      </c>
      <c r="N174" s="395">
        <f>=M174-I174</f>
        <v>19</v>
      </c>
      <c r="O174" s="240">
        <f>=IF(M174="",TODAY()-J174,M174-J174)</f>
        <v>12</v>
      </c>
      <c r="P174" s="131" t="s">
        <f>=IF(O174&gt;0,"逾期","正常")</f>
        <v>21</v>
      </c>
      <c r="Q174" s="396" t="s">
        <v>198</v>
      </c>
      <c r="R174" s="397" t="s"/>
    </row>
    <row r="175" spans="1:18">
      <c r="A175" s="385" t="s"/>
      <c r="B175" s="386" t="s"/>
      <c r="C175" s="387" t="s"/>
      <c r="D175" s="389" t="s">
        <v>51</v>
      </c>
      <c r="E175" s="389" t="s">
        <v>34</v>
      </c>
      <c r="F175" s="136">
        <f>=IF(M173="",TODAY()-F172,M173-F172)</f>
        <v>58</v>
      </c>
      <c r="G175" s="435" t="s">
        <v>35</v>
      </c>
      <c r="H175" s="425" t="s">
        <v>80</v>
      </c>
      <c r="I175" s="426">
        <f>=M174</f>
        <v>45803</v>
      </c>
      <c r="J175" s="426">
        <f>=I175+L175</f>
        <v>45806</v>
      </c>
      <c r="K175" s="426">
        <f>=J175</f>
        <v>45806</v>
      </c>
      <c r="L175" s="427">
        <v>3</v>
      </c>
      <c r="M175" s="428" t="s"/>
      <c r="N175" s="423" t="s"/>
      <c r="O175" s="240">
        <f>=IF(M175="",TODAY()-J175,M175-J175)</f>
        <v>336</v>
      </c>
      <c r="P175" s="131" t="s">
        <f>=IF(O175&gt;0,"逾期","正常")</f>
        <v>21</v>
      </c>
      <c r="Q175" s="396" t="s">
        <v>199</v>
      </c>
      <c r="R175" s="397" t="s"/>
    </row>
    <row r="176" spans="1:18">
      <c r="A176" s="385" t="s"/>
      <c r="B176" s="408" t="s"/>
      <c r="C176" s="409" t="s"/>
      <c r="D176" s="410" t="s">
        <v>36</v>
      </c>
      <c r="E176" s="410" t="s">
        <v>37</v>
      </c>
      <c r="F176" s="140">
        <v>0.9</v>
      </c>
      <c r="G176" s="477" t="s">
        <v>38</v>
      </c>
      <c r="H176" s="139" t="s">
        <f>=D173</f>
        <v>22</v>
      </c>
      <c r="I176" s="430" t="s"/>
      <c r="J176" s="430" t="s"/>
      <c r="K176" s="430" t="s"/>
      <c r="L176" s="431">
        <v>90</v>
      </c>
      <c r="M176" s="432" t="s"/>
      <c r="N176" s="415" t="s"/>
      <c r="O176" s="240" t="s"/>
      <c r="P176" s="462" t="s">
        <f>=IF(O176&gt;0,"逾期","正常")</f>
        <v>32</v>
      </c>
      <c r="Q176" s="417" t="s"/>
      <c r="R176" s="418" t="s"/>
    </row>
    <row r="177" spans="1:18">
      <c r="A177" s="373" t="s">
        <v>200</v>
      </c>
      <c r="B177" s="374" t="s">
        <v>32</v>
      </c>
      <c r="C177" s="375" t="s">
        <v>48</v>
      </c>
      <c r="D177" s="464" t="s">
        <v>17</v>
      </c>
      <c r="E177" s="464" t="s">
        <v>18</v>
      </c>
      <c r="F177" s="465">
        <v>45736</v>
      </c>
      <c r="G177" s="379" t="s">
        <v>19</v>
      </c>
      <c r="H177" s="379" t="s">
        <v>20</v>
      </c>
      <c r="I177" s="120">
        <f>=F177</f>
        <v>45736</v>
      </c>
      <c r="J177" s="120">
        <v>45751</v>
      </c>
      <c r="K177" s="120">
        <v>45746</v>
      </c>
      <c r="L177" s="91">
        <f>=J177-I177</f>
        <v>15</v>
      </c>
      <c r="M177" s="380">
        <v>45756</v>
      </c>
      <c r="N177" s="381">
        <f>=M177-I177</f>
        <v>20</v>
      </c>
      <c r="O177" s="382">
        <f>=IF(M177="",TODAY()-J177,M177-J177)</f>
        <v>5</v>
      </c>
      <c r="P177" s="131" t="s">
        <f>=IF(O177&gt;0,"逾期","正常")</f>
        <v>21</v>
      </c>
      <c r="Q177" s="383" t="s">
        <v>201</v>
      </c>
      <c r="R177" s="384" t="s"/>
    </row>
    <row r="178" spans="1:18">
      <c r="A178" s="385" t="s"/>
      <c r="B178" s="386" t="s"/>
      <c r="C178" s="387" t="s"/>
      <c r="D178" s="478" t="s">
        <v>57</v>
      </c>
      <c r="E178" s="389" t="s">
        <v>23</v>
      </c>
      <c r="F178" s="390">
        <f>=F179-F177</f>
        <v>34</v>
      </c>
      <c r="G178" s="479" t="s">
        <v>24</v>
      </c>
      <c r="H178" s="479" t="s">
        <v>50</v>
      </c>
      <c r="I178" s="134">
        <f>=M177</f>
        <v>45756</v>
      </c>
      <c r="J178" s="134">
        <f>=F179</f>
        <v>45770</v>
      </c>
      <c r="K178" s="134">
        <f>=J178</f>
        <v>45770</v>
      </c>
      <c r="L178" s="422">
        <f>=J178-I178</f>
        <v>14</v>
      </c>
      <c r="M178" s="406">
        <v>45868</v>
      </c>
      <c r="N178" s="395">
        <f>=M178-I178</f>
        <v>112</v>
      </c>
      <c r="O178" s="240">
        <f>=IF(M178="",TODAY()-J178,M178-J178)</f>
        <v>98</v>
      </c>
      <c r="P178" s="131" t="s">
        <f>=IF(O178&gt;0,"逾期","正常")</f>
        <v>21</v>
      </c>
      <c r="Q178" s="396" t="s">
        <v>202</v>
      </c>
      <c r="R178" s="397" t="s"/>
    </row>
    <row r="179" spans="1:18">
      <c r="A179" s="385" t="s"/>
      <c r="B179" s="386" t="s"/>
      <c r="C179" s="387" t="s"/>
      <c r="D179" s="389" t="s">
        <v>28</v>
      </c>
      <c r="E179" s="389" t="s">
        <v>29</v>
      </c>
      <c r="F179" s="398">
        <v>45770</v>
      </c>
      <c r="G179" s="421" t="s">
        <v>30</v>
      </c>
      <c r="H179" s="421" t="s">
        <v>31</v>
      </c>
      <c r="I179" s="404">
        <f>=M178</f>
        <v>45868</v>
      </c>
      <c r="J179" s="404">
        <f>=I179+L179</f>
        <v>45875</v>
      </c>
      <c r="K179" s="404">
        <f>=J179</f>
        <v>45875</v>
      </c>
      <c r="L179" s="405">
        <v>7</v>
      </c>
      <c r="M179" s="406">
        <v>45868</v>
      </c>
      <c r="N179" s="395">
        <f>=M179-I179</f>
        <v>0</v>
      </c>
      <c r="O179" s="240">
        <f>=IF(M179="",TODAY()-J179,M179-J179)</f>
        <v>-7</v>
      </c>
      <c r="P179" s="131" t="s">
        <f>=IF(O179&gt;0,"逾期","正常")</f>
        <v>32</v>
      </c>
      <c r="Q179" s="396" t="s"/>
      <c r="R179" s="397" t="s"/>
    </row>
    <row r="180" spans="1:18">
      <c r="A180" s="385" t="s"/>
      <c r="B180" s="386" t="s"/>
      <c r="C180" s="387" t="s"/>
      <c r="D180" s="389" t="s">
        <v>46</v>
      </c>
      <c r="E180" s="389" t="s">
        <v>34</v>
      </c>
      <c r="F180" s="136">
        <f>=IF(M178="",TODAY()-F177,M178-F177)</f>
        <v>132</v>
      </c>
      <c r="G180" s="435" t="s">
        <v>35</v>
      </c>
      <c r="H180" s="425" t="s">
        <v>203</v>
      </c>
      <c r="I180" s="426">
        <f>=M179</f>
        <v>45868</v>
      </c>
      <c r="J180" s="426">
        <f>=I180+L180</f>
        <v>45874</v>
      </c>
      <c r="K180" s="426">
        <f>=J180</f>
        <v>45874</v>
      </c>
      <c r="L180" s="427">
        <v>6</v>
      </c>
      <c r="M180" s="428" t="s"/>
      <c r="N180" s="423" t="s"/>
      <c r="O180" s="240">
        <f>=IF(M180="",TODAY()-J180,M180-J180)</f>
        <v>268</v>
      </c>
      <c r="P180" s="131" t="s">
        <f>=IF(O180&gt;0,"逾期","正常")</f>
        <v>21</v>
      </c>
      <c r="Q180" s="396" t="s">
        <v>204</v>
      </c>
      <c r="R180" s="397" t="s"/>
    </row>
    <row r="181" spans="1:18">
      <c r="A181" s="385" t="s"/>
      <c r="B181" s="408" t="s"/>
      <c r="C181" s="409" t="s"/>
      <c r="D181" s="410" t="s">
        <v>36</v>
      </c>
      <c r="E181" s="410" t="s">
        <v>37</v>
      </c>
      <c r="F181" s="140">
        <v>0.9</v>
      </c>
      <c r="G181" s="477" t="s">
        <v>38</v>
      </c>
      <c r="H181" s="139" t="s">
        <v>57</v>
      </c>
      <c r="I181" s="430" t="s"/>
      <c r="J181" s="430" t="s"/>
      <c r="K181" s="430" t="s"/>
      <c r="L181" s="431">
        <v>90</v>
      </c>
      <c r="M181" s="432" t="s"/>
      <c r="N181" s="415" t="s"/>
      <c r="O181" s="240" t="s"/>
      <c r="P181" s="462" t="s">
        <f>=IF(O181&gt;0,"逾期","正常")</f>
        <v>32</v>
      </c>
      <c r="Q181" s="417" t="s"/>
      <c r="R181" s="418" t="s"/>
    </row>
    <row r="182" spans="1:18">
      <c r="A182" s="373" t="s">
        <v>205</v>
      </c>
      <c r="B182" s="374" t="s">
        <v>32</v>
      </c>
      <c r="C182" s="375" t="s">
        <v>206</v>
      </c>
      <c r="D182" s="464" t="s">
        <v>17</v>
      </c>
      <c r="E182" s="464" t="s">
        <v>18</v>
      </c>
      <c r="F182" s="465">
        <v>45747</v>
      </c>
      <c r="G182" s="379" t="s">
        <v>19</v>
      </c>
      <c r="H182" s="379" t="s">
        <v>63</v>
      </c>
      <c r="I182" s="120">
        <f>=F182</f>
        <v>45747</v>
      </c>
      <c r="J182" s="120">
        <v>45757</v>
      </c>
      <c r="K182" s="120">
        <v>45755</v>
      </c>
      <c r="L182" s="91">
        <f>=J182-I182</f>
        <v>10</v>
      </c>
      <c r="M182" s="380">
        <v>45762</v>
      </c>
      <c r="N182" s="474">
        <f>=M182-I182</f>
        <v>15</v>
      </c>
      <c r="O182" s="382">
        <f>=IF(M182="",TODAY()-J182,M182-J182)</f>
        <v>5</v>
      </c>
      <c r="P182" s="131" t="s">
        <f>=IF(O182&gt;0,"逾期","正常")</f>
        <v>21</v>
      </c>
      <c r="Q182" s="383" t="s">
        <v>207</v>
      </c>
      <c r="R182" s="384" t="s"/>
    </row>
    <row r="183" spans="1:18">
      <c r="A183" s="385" t="s"/>
      <c r="B183" s="386" t="s"/>
      <c r="C183" s="387" t="s"/>
      <c r="D183" s="420" t="s">
        <v>72</v>
      </c>
      <c r="E183" s="389" t="s">
        <v>23</v>
      </c>
      <c r="F183" s="390">
        <v>25</v>
      </c>
      <c r="G183" s="480" t="s">
        <v>24</v>
      </c>
      <c r="H183" s="480" t="s">
        <v>50</v>
      </c>
      <c r="I183" s="126">
        <f>=M182</f>
        <v>45762</v>
      </c>
      <c r="J183" s="126">
        <f>=F184</f>
        <v>45772</v>
      </c>
      <c r="K183" s="126">
        <f>=J183</f>
        <v>45772</v>
      </c>
      <c r="L183" s="393">
        <f>=J183-I183</f>
        <v>10</v>
      </c>
      <c r="M183" s="394">
        <v>45776</v>
      </c>
      <c r="N183" s="481">
        <f>=M183-I183</f>
        <v>14</v>
      </c>
      <c r="O183" s="28">
        <f>=IF(M183="",TODAY()-J183,M183-J183)</f>
        <v>4</v>
      </c>
      <c r="P183" s="131" t="s">
        <f>=IF(O183&gt;0,"逾期","正常")</f>
        <v>21</v>
      </c>
      <c r="Q183" s="396" t="s"/>
      <c r="R183" s="397" t="s"/>
    </row>
    <row r="184" spans="1:18">
      <c r="A184" s="385" t="s"/>
      <c r="B184" s="386" t="s"/>
      <c r="C184" s="387" t="s"/>
      <c r="D184" s="389" t="s">
        <v>28</v>
      </c>
      <c r="E184" s="389" t="s">
        <v>29</v>
      </c>
      <c r="F184" s="398">
        <v>45772</v>
      </c>
      <c r="G184" s="392" t="s">
        <v>30</v>
      </c>
      <c r="H184" s="392" t="s">
        <v>31</v>
      </c>
      <c r="I184" s="400">
        <f>=M183</f>
        <v>45776</v>
      </c>
      <c r="J184" s="400">
        <f>=I184+L184</f>
        <v>45783</v>
      </c>
      <c r="K184" s="400">
        <f>=J184</f>
        <v>45783</v>
      </c>
      <c r="L184" s="401">
        <v>7</v>
      </c>
      <c r="M184" s="394">
        <v>45783</v>
      </c>
      <c r="N184" s="481">
        <f>=M184-I184</f>
        <v>7</v>
      </c>
      <c r="O184" s="28">
        <f>=IF(M184="",TODAY()-J184,M184-J184)</f>
        <v>0</v>
      </c>
      <c r="P184" s="131" t="s">
        <f>=IF(O184&gt;0,"逾期","正常")</f>
        <v>32</v>
      </c>
      <c r="Q184" s="396" t="s"/>
      <c r="R184" s="397" t="s"/>
    </row>
    <row r="185" spans="1:18">
      <c r="A185" s="385" t="s"/>
      <c r="B185" s="386" t="s"/>
      <c r="C185" s="387" t="s"/>
      <c r="D185" s="389" t="s">
        <v>33</v>
      </c>
      <c r="E185" s="389" t="s">
        <v>34</v>
      </c>
      <c r="F185" s="136">
        <f>=IF(M183="",TODAY()-F182,M183-F182)</f>
        <v>29</v>
      </c>
      <c r="G185" s="392" t="s">
        <v>35</v>
      </c>
      <c r="H185" s="467" t="s">
        <v>110</v>
      </c>
      <c r="I185" s="400">
        <f>=M184</f>
        <v>45783</v>
      </c>
      <c r="J185" s="400">
        <f>=I185+L185</f>
        <v>45789</v>
      </c>
      <c r="K185" s="400">
        <f>=J185</f>
        <v>45789</v>
      </c>
      <c r="L185" s="401">
        <v>6</v>
      </c>
      <c r="M185" s="394">
        <v>45792</v>
      </c>
      <c r="N185" s="482">
        <f>=M185-I185</f>
        <v>9</v>
      </c>
      <c r="O185" s="28">
        <f>=IF(M185="",TODAY()-J185,M185-J185)</f>
        <v>3</v>
      </c>
      <c r="P185" s="131" t="s">
        <f>=IF(O185&gt;0,"逾期","正常")</f>
        <v>21</v>
      </c>
      <c r="Q185" s="396" t="s">
        <v>208</v>
      </c>
      <c r="R185" s="397" t="s"/>
    </row>
    <row r="186" spans="1:18">
      <c r="A186" s="385" t="s"/>
      <c r="B186" s="408" t="s"/>
      <c r="C186" s="409" t="s"/>
      <c r="D186" s="410" t="s">
        <v>36</v>
      </c>
      <c r="E186" s="410" t="s">
        <v>37</v>
      </c>
      <c r="F186" s="140">
        <v>0.9</v>
      </c>
      <c r="G186" s="411" t="s">
        <v>38</v>
      </c>
      <c r="H186" s="483" t="s">
        <f>=D183</f>
        <v>72</v>
      </c>
      <c r="I186" s="484">
        <f>=M185</f>
        <v>45792</v>
      </c>
      <c r="J186" s="484">
        <f>=I186+L186</f>
        <v>45882</v>
      </c>
      <c r="K186" s="484">
        <f>=J186</f>
        <v>45882</v>
      </c>
      <c r="L186" s="485">
        <v>90</v>
      </c>
      <c r="M186" s="486" t="s"/>
      <c r="N186" s="415" t="s"/>
      <c r="O186" s="240">
        <f>=IF(M186="",TODAY()-J186,M186-J186)</f>
        <v>260</v>
      </c>
      <c r="P186" s="462" t="s">
        <f>=IF(O186&gt;0,"逾期","正常")</f>
        <v>21</v>
      </c>
      <c r="Q186" s="417" t="s"/>
      <c r="R186" s="418" t="s"/>
    </row>
    <row r="187" spans="1:18">
      <c r="A187" s="373" t="s">
        <v>209</v>
      </c>
      <c r="B187" s="374" t="s">
        <v>15</v>
      </c>
      <c r="C187" s="375" t="s">
        <v>210</v>
      </c>
      <c r="D187" s="464" t="s">
        <v>17</v>
      </c>
      <c r="E187" s="464" t="s">
        <v>18</v>
      </c>
      <c r="F187" s="465">
        <v>45761</v>
      </c>
      <c r="G187" s="379" t="s">
        <v>19</v>
      </c>
      <c r="H187" s="379" t="s">
        <v>63</v>
      </c>
      <c r="I187" s="120">
        <f>=F187</f>
        <v>45761</v>
      </c>
      <c r="J187" s="120">
        <v>45776</v>
      </c>
      <c r="K187" s="120">
        <v>45771</v>
      </c>
      <c r="L187" s="91">
        <f>=J187-I187</f>
        <v>15</v>
      </c>
      <c r="M187" s="380">
        <v>45775</v>
      </c>
      <c r="N187" s="381">
        <f>=M187-I187</f>
        <v>14</v>
      </c>
      <c r="O187" s="487">
        <f>=IF(M187="",TODAY()-J187,M187-J187)</f>
        <v>-1</v>
      </c>
      <c r="P187" s="131" t="s">
        <f>=IF(O187&gt;0,"逾期","正常")</f>
        <v>32</v>
      </c>
      <c r="Q187" s="383" t="s"/>
      <c r="R187" s="384" t="s"/>
    </row>
    <row r="188" spans="1:18">
      <c r="A188" s="385" t="s"/>
      <c r="B188" s="386" t="s"/>
      <c r="C188" s="387" t="s"/>
      <c r="D188" s="420" t="s">
        <v>128</v>
      </c>
      <c r="E188" s="389" t="s">
        <v>23</v>
      </c>
      <c r="F188" s="390">
        <f>=F189-F187</f>
        <v>35</v>
      </c>
      <c r="G188" s="488" t="s">
        <v>24</v>
      </c>
      <c r="H188" s="488" t="s">
        <v>50</v>
      </c>
      <c r="I188" s="186">
        <f>=M187</f>
        <v>45775</v>
      </c>
      <c r="J188" s="186">
        <f>=F189</f>
        <v>45796</v>
      </c>
      <c r="K188" s="186">
        <f>=J188</f>
        <v>45796</v>
      </c>
      <c r="L188" s="489">
        <f>=J188-I188</f>
        <v>21</v>
      </c>
      <c r="M188" s="428" t="s"/>
      <c r="N188" s="395" t="s"/>
      <c r="O188" s="490">
        <f>=IF(M188="",TODAY()-J188,M188-J188)</f>
        <v>354</v>
      </c>
      <c r="P188" s="131" t="s">
        <f>=IF(O188&gt;0,"逾期","正常")</f>
        <v>21</v>
      </c>
      <c r="Q188" s="396" t="s">
        <v>211</v>
      </c>
      <c r="R188" s="397" t="s"/>
    </row>
    <row r="189" spans="1:18">
      <c r="A189" s="385" t="s"/>
      <c r="B189" s="386" t="s"/>
      <c r="C189" s="387" t="s"/>
      <c r="D189" s="389" t="s">
        <v>28</v>
      </c>
      <c r="E189" s="389" t="s">
        <v>29</v>
      </c>
      <c r="F189" s="398">
        <v>45796</v>
      </c>
      <c r="G189" s="392" t="s">
        <v>30</v>
      </c>
      <c r="H189" s="392" t="s">
        <v>31</v>
      </c>
      <c r="I189" s="400" t="s"/>
      <c r="J189" s="400" t="s"/>
      <c r="K189" s="400" t="s"/>
      <c r="L189" s="401">
        <v>7</v>
      </c>
      <c r="M189" s="394" t="s"/>
      <c r="N189" s="395" t="s"/>
      <c r="O189" s="490" t="s"/>
      <c r="P189" s="131" t="s">
        <f>=IF(O189&gt;0,"逾期","正常")</f>
        <v>32</v>
      </c>
      <c r="Q189" s="491" t="s"/>
      <c r="R189" s="397" t="s"/>
    </row>
    <row r="190" spans="1:18">
      <c r="A190" s="385" t="s"/>
      <c r="B190" s="386" t="s"/>
      <c r="C190" s="387" t="s"/>
      <c r="D190" s="389" t="s">
        <v>212</v>
      </c>
      <c r="E190" s="389" t="s">
        <v>34</v>
      </c>
      <c r="F190" s="136">
        <f>=IF(M188="",TODAY()-F187,M188-F187)</f>
        <v>389</v>
      </c>
      <c r="G190" s="392" t="s">
        <v>35</v>
      </c>
      <c r="H190" s="467" t="s"/>
      <c r="I190" s="400" t="s"/>
      <c r="J190" s="400" t="s"/>
      <c r="K190" s="400" t="s"/>
      <c r="L190" s="401" t="s"/>
      <c r="M190" s="394" t="s"/>
      <c r="N190" s="423" t="s"/>
      <c r="O190" s="490" t="s"/>
      <c r="P190" s="131" t="s">
        <f>=IF(O190&gt;0,"逾期","正常")</f>
        <v>32</v>
      </c>
      <c r="Q190" s="396" t="s"/>
      <c r="R190" s="397" t="s"/>
    </row>
    <row r="191" spans="1:18">
      <c r="A191" s="385" t="s"/>
      <c r="B191" s="408" t="s"/>
      <c r="C191" s="409" t="s"/>
      <c r="D191" s="410" t="s">
        <v>36</v>
      </c>
      <c r="E191" s="410" t="s">
        <v>37</v>
      </c>
      <c r="F191" s="140">
        <v>0.3281</v>
      </c>
      <c r="G191" s="477" t="s">
        <v>38</v>
      </c>
      <c r="H191" s="139" t="s">
        <f>=D188</f>
        <v>128</v>
      </c>
      <c r="I191" s="430" t="s"/>
      <c r="J191" s="430" t="s"/>
      <c r="K191" s="430" t="s"/>
      <c r="L191" s="431">
        <v>90</v>
      </c>
      <c r="M191" s="432" t="s"/>
      <c r="N191" s="415" t="s"/>
      <c r="O191" s="490" t="s"/>
      <c r="P191" s="416" t="s">
        <f>=IF(O191&gt;0,"逾期","正常")</f>
        <v>32</v>
      </c>
      <c r="Q191" s="417" t="s"/>
      <c r="R191" s="418" t="s"/>
    </row>
    <row r="192" spans="1:18">
      <c r="A192" s="373" t="s">
        <v>213</v>
      </c>
      <c r="B192" s="374" t="s">
        <v>32</v>
      </c>
      <c r="C192" s="375" t="s">
        <v>108</v>
      </c>
      <c r="D192" s="464" t="s">
        <v>17</v>
      </c>
      <c r="E192" s="464" t="s">
        <v>18</v>
      </c>
      <c r="F192" s="465">
        <v>45769</v>
      </c>
      <c r="G192" s="379" t="s">
        <v>19</v>
      </c>
      <c r="H192" s="379" t="s">
        <v>49</v>
      </c>
      <c r="I192" s="120">
        <f>=F192</f>
        <v>45769</v>
      </c>
      <c r="J192" s="120">
        <v>45781</v>
      </c>
      <c r="K192" s="120">
        <v>45777</v>
      </c>
      <c r="L192" s="91">
        <f>=J192-I192</f>
        <v>12</v>
      </c>
      <c r="M192" s="380">
        <v>45772</v>
      </c>
      <c r="N192" s="381">
        <f>=M192-I192</f>
        <v>3</v>
      </c>
      <c r="O192" s="487">
        <f>=IF(M192="",TODAY()-J192,M192-J192)</f>
        <v>-9</v>
      </c>
      <c r="P192" s="131" t="s">
        <f>=IF(O192&gt;0,"逾期","正常")</f>
        <v>32</v>
      </c>
      <c r="Q192" s="383" t="s"/>
      <c r="R192" s="384" t="s"/>
    </row>
    <row r="193" spans="1:18">
      <c r="A193" s="385" t="s"/>
      <c r="B193" s="386" t="s"/>
      <c r="C193" s="387" t="s"/>
      <c r="D193" s="420" t="s">
        <v>57</v>
      </c>
      <c r="E193" s="389" t="s">
        <v>23</v>
      </c>
      <c r="F193" s="390">
        <f>=F194-F192</f>
        <v>35</v>
      </c>
      <c r="G193" s="479" t="s">
        <v>24</v>
      </c>
      <c r="H193" s="479" t="s">
        <v>50</v>
      </c>
      <c r="I193" s="134">
        <f>=M192</f>
        <v>45772</v>
      </c>
      <c r="J193" s="134">
        <f>=F194</f>
        <v>45804</v>
      </c>
      <c r="K193" s="134">
        <f>=J193</f>
        <v>45804</v>
      </c>
      <c r="L193" s="492">
        <f>=J193-I193</f>
        <v>32</v>
      </c>
      <c r="M193" s="406">
        <v>45843</v>
      </c>
      <c r="N193" s="423">
        <f>=M193-I193</f>
        <v>71</v>
      </c>
      <c r="O193" s="490">
        <f>=IF(M193="",TODAY()-J193,M193-J193)</f>
        <v>39</v>
      </c>
      <c r="P193" s="131" t="s">
        <f>=IF(O193&gt;0,"逾期","正常")</f>
        <v>21</v>
      </c>
      <c r="Q193" s="396" t="s">
        <v>214</v>
      </c>
      <c r="R193" s="397" t="s"/>
    </row>
    <row r="194" spans="1:18">
      <c r="A194" s="385" t="s"/>
      <c r="B194" s="386" t="s"/>
      <c r="C194" s="387" t="s"/>
      <c r="D194" s="389" t="s">
        <v>28</v>
      </c>
      <c r="E194" s="389" t="s">
        <v>29</v>
      </c>
      <c r="F194" s="398">
        <v>45804</v>
      </c>
      <c r="G194" s="392" t="s">
        <v>30</v>
      </c>
      <c r="H194" s="392" t="s">
        <v>31</v>
      </c>
      <c r="I194" s="400">
        <f>=M193</f>
        <v>45843</v>
      </c>
      <c r="J194" s="400">
        <f>=I194+L194</f>
        <v>45850</v>
      </c>
      <c r="K194" s="400">
        <f>=J194</f>
        <v>45850</v>
      </c>
      <c r="L194" s="401">
        <v>7</v>
      </c>
      <c r="M194" s="394">
        <v>45845</v>
      </c>
      <c r="N194" s="423">
        <f>=M194-I194</f>
        <v>2</v>
      </c>
      <c r="O194" s="490">
        <f>=IF(M194="",TODAY()-J194,M194-J194)</f>
        <v>-5</v>
      </c>
      <c r="P194" s="131" t="s">
        <f>=IF(O194&gt;0,"逾期","正常")</f>
        <v>32</v>
      </c>
      <c r="Q194" s="396" t="s"/>
      <c r="R194" s="397" t="s"/>
    </row>
    <row r="195" spans="1:18">
      <c r="A195" s="385" t="s"/>
      <c r="B195" s="386" t="s"/>
      <c r="C195" s="387" t="s"/>
      <c r="D195" s="389" t="s">
        <v>33</v>
      </c>
      <c r="E195" s="389" t="s">
        <v>34</v>
      </c>
      <c r="F195" s="136">
        <f>=IF(M193="",TODAY()-F192,M193-F192)</f>
        <v>74</v>
      </c>
      <c r="G195" s="421" t="s">
        <v>35</v>
      </c>
      <c r="H195" s="403" t="s">
        <v>80</v>
      </c>
      <c r="I195" s="404">
        <f>=M194</f>
        <v>45845</v>
      </c>
      <c r="J195" s="404">
        <f>=I195+L195</f>
        <v>45853</v>
      </c>
      <c r="K195" s="404">
        <f>=J195</f>
        <v>45853</v>
      </c>
      <c r="L195" s="405">
        <v>8</v>
      </c>
      <c r="M195" s="406">
        <v>45850</v>
      </c>
      <c r="N195" s="423">
        <f>=M195-I195</f>
        <v>5</v>
      </c>
      <c r="O195" s="490">
        <f>=IF(M195="",TODAY()-J195,M195-J195)</f>
        <v>-3</v>
      </c>
      <c r="P195" s="131" t="s">
        <f>=IF(O195&gt;0,"逾期","正常")</f>
        <v>32</v>
      </c>
      <c r="Q195" s="396" t="s"/>
      <c r="R195" s="397" t="s"/>
    </row>
    <row r="196" spans="1:18">
      <c r="A196" s="385" t="s"/>
      <c r="B196" s="408" t="s"/>
      <c r="C196" s="409" t="s"/>
      <c r="D196" s="410" t="s">
        <v>36</v>
      </c>
      <c r="E196" s="410" t="s">
        <v>37</v>
      </c>
      <c r="F196" s="140">
        <v>0.9</v>
      </c>
      <c r="G196" s="411" t="s">
        <v>38</v>
      </c>
      <c r="H196" s="142" t="s">
        <f>=D193</f>
        <v>57</v>
      </c>
      <c r="I196" s="412">
        <f>=M195</f>
        <v>45850</v>
      </c>
      <c r="J196" s="412">
        <f>=I196+L196</f>
        <v>45940</v>
      </c>
      <c r="K196" s="412">
        <f>=J196</f>
        <v>45940</v>
      </c>
      <c r="L196" s="413">
        <v>90</v>
      </c>
      <c r="M196" s="414" t="s"/>
      <c r="N196" s="415" t="s"/>
      <c r="O196" s="490">
        <f>=IF(M196="",TODAY()-J196,M196-J196)</f>
        <v>202</v>
      </c>
      <c r="P196" s="462" t="s">
        <f>=IF(O196&gt;0,"逾期","正常")</f>
        <v>21</v>
      </c>
      <c r="Q196" s="417" t="s"/>
      <c r="R196" s="418" t="s"/>
    </row>
    <row r="197" spans="1:18">
      <c r="A197" s="373" t="s">
        <v>215</v>
      </c>
      <c r="B197" s="374" t="s">
        <v>32</v>
      </c>
      <c r="C197" s="375" t="s">
        <v>216</v>
      </c>
      <c r="D197" s="464" t="s">
        <v>17</v>
      </c>
      <c r="E197" s="464" t="s">
        <v>18</v>
      </c>
      <c r="F197" s="465">
        <v>45771</v>
      </c>
      <c r="G197" s="379" t="s">
        <v>19</v>
      </c>
      <c r="H197" s="379" t="s">
        <v>63</v>
      </c>
      <c r="I197" s="120">
        <f>=F197</f>
        <v>45771</v>
      </c>
      <c r="J197" s="120">
        <v>45786</v>
      </c>
      <c r="K197" s="120">
        <v>45781</v>
      </c>
      <c r="L197" s="91">
        <f>=J197-I197</f>
        <v>15</v>
      </c>
      <c r="M197" s="380">
        <v>45793</v>
      </c>
      <c r="N197" s="381">
        <f>=M197-I197</f>
        <v>22</v>
      </c>
      <c r="O197" s="487">
        <f>=IF(M197="",TODAY()-J197,M197-J197)</f>
        <v>7</v>
      </c>
      <c r="P197" s="131" t="s">
        <f>=IF(O197&gt;0,"逾期","正常")</f>
        <v>21</v>
      </c>
      <c r="Q197" s="383" t="s">
        <v>217</v>
      </c>
      <c r="R197" s="384" t="s"/>
    </row>
    <row r="198" spans="1:18">
      <c r="A198" s="385" t="s"/>
      <c r="B198" s="386" t="s"/>
      <c r="C198" s="387" t="s"/>
      <c r="D198" s="420" t="s">
        <v>65</v>
      </c>
      <c r="E198" s="389" t="s">
        <v>23</v>
      </c>
      <c r="F198" s="390">
        <f>=F199-F197</f>
        <v>40</v>
      </c>
      <c r="G198" s="479" t="s">
        <v>24</v>
      </c>
      <c r="H198" s="479" t="s">
        <v>50</v>
      </c>
      <c r="I198" s="134">
        <f>=M197</f>
        <v>45793</v>
      </c>
      <c r="J198" s="134">
        <f>=F199</f>
        <v>45811</v>
      </c>
      <c r="K198" s="134">
        <f>=J198</f>
        <v>45811</v>
      </c>
      <c r="L198" s="492">
        <f>=J198-I198</f>
        <v>18</v>
      </c>
      <c r="M198" s="406">
        <v>45822</v>
      </c>
      <c r="N198" s="423">
        <f>=M198-I198</f>
        <v>29</v>
      </c>
      <c r="O198" s="490">
        <f>=IF(M198="",TODAY()-J198,M198-J198)</f>
        <v>11</v>
      </c>
      <c r="P198" s="131" t="s">
        <f>=IF(O198&gt;0,"逾期","正常")</f>
        <v>21</v>
      </c>
      <c r="Q198" s="396" t="s">
        <v>218</v>
      </c>
      <c r="R198" s="397" t="s"/>
    </row>
    <row r="199" spans="1:18">
      <c r="A199" s="385" t="s"/>
      <c r="B199" s="386" t="s"/>
      <c r="C199" s="387" t="s"/>
      <c r="D199" s="389" t="s">
        <v>28</v>
      </c>
      <c r="E199" s="389" t="s">
        <v>29</v>
      </c>
      <c r="F199" s="398">
        <v>45811</v>
      </c>
      <c r="G199" s="421" t="s">
        <v>30</v>
      </c>
      <c r="H199" s="421" t="s">
        <v>31</v>
      </c>
      <c r="I199" s="404">
        <f>=M198</f>
        <v>45822</v>
      </c>
      <c r="J199" s="404">
        <f>=I199+L199</f>
        <v>45829</v>
      </c>
      <c r="K199" s="404">
        <f>=J199</f>
        <v>45829</v>
      </c>
      <c r="L199" s="405">
        <v>7</v>
      </c>
      <c r="M199" s="406">
        <v>45828</v>
      </c>
      <c r="N199" s="423">
        <f>=M199-I199</f>
        <v>6</v>
      </c>
      <c r="O199" s="490">
        <f>=IF(M199="",TODAY()-J199,M199-J199)</f>
        <v>-1</v>
      </c>
      <c r="P199" s="131" t="s">
        <f>=IF(O199&gt;0,"逾期","正常")</f>
        <v>32</v>
      </c>
      <c r="Q199" s="396" t="s"/>
      <c r="R199" s="397" t="s"/>
    </row>
    <row r="200" spans="1:18">
      <c r="A200" s="385" t="s"/>
      <c r="B200" s="386" t="s"/>
      <c r="C200" s="387" t="s"/>
      <c r="D200" s="389" t="s">
        <v>51</v>
      </c>
      <c r="E200" s="389" t="s">
        <v>34</v>
      </c>
      <c r="F200" s="136">
        <f>=IF(M198="",TODAY()-F197,M198-F197)</f>
        <v>51</v>
      </c>
      <c r="G200" s="421" t="s">
        <v>35</v>
      </c>
      <c r="H200" s="403" t="s">
        <v>80</v>
      </c>
      <c r="I200" s="404">
        <f>=M199</f>
        <v>45828</v>
      </c>
      <c r="J200" s="404">
        <f>=I200+L200</f>
        <v>45832</v>
      </c>
      <c r="K200" s="404">
        <f>=J200</f>
        <v>45832</v>
      </c>
      <c r="L200" s="405">
        <v>4</v>
      </c>
      <c r="M200" s="406">
        <v>45990</v>
      </c>
      <c r="N200" s="423">
        <f>=M200-I200</f>
        <v>162</v>
      </c>
      <c r="O200" s="490">
        <f>=IF(M200="",TODAY()-J200,M200-J200)</f>
        <v>158</v>
      </c>
      <c r="P200" s="131" t="s">
        <f>=IF(O200&gt;0,"逾期","正常")</f>
        <v>21</v>
      </c>
      <c r="Q200" s="396" t="s">
        <v>219</v>
      </c>
      <c r="R200" s="397" t="s"/>
    </row>
    <row r="201" spans="1:18">
      <c r="A201" s="385" t="s"/>
      <c r="B201" s="408" t="s"/>
      <c r="C201" s="409" t="s"/>
      <c r="D201" s="410" t="s">
        <v>36</v>
      </c>
      <c r="E201" s="410" t="s">
        <v>37</v>
      </c>
      <c r="F201" s="140">
        <v>0.9</v>
      </c>
      <c r="G201" s="411" t="s">
        <v>38</v>
      </c>
      <c r="H201" s="142" t="s">
        <f>=D198</f>
        <v>65</v>
      </c>
      <c r="I201" s="412">
        <f>=M200</f>
        <v>45990</v>
      </c>
      <c r="J201" s="412">
        <f>=I201+L201</f>
        <v>46080</v>
      </c>
      <c r="K201" s="412">
        <f>=J201</f>
        <v>46080</v>
      </c>
      <c r="L201" s="413">
        <v>90</v>
      </c>
      <c r="M201" s="414" t="s"/>
      <c r="N201" s="415" t="s"/>
      <c r="O201" s="490">
        <f>=IF(M201="",TODAY()-J201,M201-J201)</f>
        <v>62</v>
      </c>
      <c r="P201" s="462" t="s">
        <f>=IF(O201&gt;0,"逾期","正常")</f>
        <v>21</v>
      </c>
      <c r="Q201" s="417" t="s"/>
      <c r="R201" s="418" t="s"/>
    </row>
    <row r="202" spans="1:18">
      <c r="A202" s="373" t="s">
        <v>220</v>
      </c>
      <c r="B202" s="374" t="s">
        <v>32</v>
      </c>
      <c r="C202" s="375" t="s">
        <v>221</v>
      </c>
      <c r="D202" s="464" t="s">
        <v>17</v>
      </c>
      <c r="E202" s="464" t="s">
        <v>18</v>
      </c>
      <c r="F202" s="465">
        <v>45771</v>
      </c>
      <c r="G202" s="379" t="s">
        <v>19</v>
      </c>
      <c r="H202" s="379" t="s">
        <v>41</v>
      </c>
      <c r="I202" s="120">
        <f>=F202</f>
        <v>45771</v>
      </c>
      <c r="J202" s="120">
        <v>45786</v>
      </c>
      <c r="K202" s="120">
        <v>45781</v>
      </c>
      <c r="L202" s="91">
        <f>=J202-I202</f>
        <v>15</v>
      </c>
      <c r="M202" s="380">
        <v>45790</v>
      </c>
      <c r="N202" s="381">
        <f>=M202-I202</f>
        <v>19</v>
      </c>
      <c r="O202" s="487">
        <f>=IF(M202="",TODAY()-J202,M202-J202)</f>
        <v>4</v>
      </c>
      <c r="P202" s="131" t="s">
        <f>=IF(O202&gt;0,"逾期","正常")</f>
        <v>21</v>
      </c>
      <c r="Q202" s="383" t="s">
        <v>222</v>
      </c>
      <c r="R202" s="384" t="s"/>
    </row>
    <row r="203" spans="1:18">
      <c r="A203" s="385" t="s"/>
      <c r="B203" s="386" t="s"/>
      <c r="C203" s="387" t="s"/>
      <c r="D203" s="420" t="s">
        <v>65</v>
      </c>
      <c r="E203" s="389" t="s">
        <v>23</v>
      </c>
      <c r="F203" s="390">
        <f>=F204-F202</f>
        <v>40</v>
      </c>
      <c r="G203" s="480" t="s">
        <v>24</v>
      </c>
      <c r="H203" s="480" t="s">
        <v>50</v>
      </c>
      <c r="I203" s="126">
        <f>=M202</f>
        <v>45790</v>
      </c>
      <c r="J203" s="126">
        <f>=F204</f>
        <v>45811</v>
      </c>
      <c r="K203" s="126">
        <f>=J203</f>
        <v>45811</v>
      </c>
      <c r="L203" s="493">
        <f>=J203-I203</f>
        <v>21</v>
      </c>
      <c r="M203" s="394">
        <v>45812</v>
      </c>
      <c r="N203" s="423">
        <f>=M203-I203</f>
        <v>22</v>
      </c>
      <c r="O203" s="490">
        <f>=IF(M203="",TODAY()-J203,M203-J203)</f>
        <v>1</v>
      </c>
      <c r="P203" s="131" t="s">
        <f>=IF(O203&gt;0,"逾期","正常")</f>
        <v>21</v>
      </c>
      <c r="Q203" s="396" t="s">
        <v>223</v>
      </c>
      <c r="R203" s="397" t="s"/>
    </row>
    <row r="204" spans="1:18">
      <c r="A204" s="385" t="s"/>
      <c r="B204" s="386" t="s"/>
      <c r="C204" s="387" t="s"/>
      <c r="D204" s="389" t="s">
        <v>28</v>
      </c>
      <c r="E204" s="389" t="s">
        <v>29</v>
      </c>
      <c r="F204" s="398">
        <v>45811</v>
      </c>
      <c r="G204" s="421" t="s">
        <v>30</v>
      </c>
      <c r="H204" s="421" t="s">
        <v>31</v>
      </c>
      <c r="I204" s="404">
        <f>=M203</f>
        <v>45812</v>
      </c>
      <c r="J204" s="404">
        <f>=I204+L204</f>
        <v>45819</v>
      </c>
      <c r="K204" s="404">
        <f>=J204</f>
        <v>45819</v>
      </c>
      <c r="L204" s="405">
        <v>7</v>
      </c>
      <c r="M204" s="406">
        <v>45813</v>
      </c>
      <c r="N204" s="423">
        <f>=M204-I204</f>
        <v>1</v>
      </c>
      <c r="O204" s="490">
        <f>=IF(M204="",TODAY()-J204,M204-J204)</f>
        <v>-6</v>
      </c>
      <c r="P204" s="131" t="s">
        <f>=IF(O204&gt;0,"逾期","正常")</f>
        <v>32</v>
      </c>
      <c r="Q204" s="396" t="s"/>
      <c r="R204" s="397" t="s"/>
    </row>
    <row r="205" spans="1:18">
      <c r="A205" s="385" t="s"/>
      <c r="B205" s="386" t="s"/>
      <c r="C205" s="387" t="s"/>
      <c r="D205" s="389" t="s">
        <v>33</v>
      </c>
      <c r="E205" s="389" t="s">
        <v>34</v>
      </c>
      <c r="F205" s="136">
        <f>=IF(M203="",TODAY()-F202,M203-F202)</f>
        <v>41</v>
      </c>
      <c r="G205" s="421" t="s">
        <v>35</v>
      </c>
      <c r="H205" s="403" t="s">
        <v>224</v>
      </c>
      <c r="I205" s="404">
        <f>=M204</f>
        <v>45813</v>
      </c>
      <c r="J205" s="404">
        <f>=I205+L205</f>
        <v>45823</v>
      </c>
      <c r="K205" s="404">
        <f>=J205</f>
        <v>45823</v>
      </c>
      <c r="L205" s="405">
        <v>10</v>
      </c>
      <c r="M205" s="406">
        <v>45821</v>
      </c>
      <c r="N205" s="423">
        <f>=M205-I205</f>
        <v>8</v>
      </c>
      <c r="O205" s="490">
        <f>=IF(M205="",TODAY()-J205,M205-J205)</f>
        <v>-2</v>
      </c>
      <c r="P205" s="131" t="s">
        <f>=IF(O205&gt;0,"逾期","正常")</f>
        <v>32</v>
      </c>
      <c r="Q205" s="396" t="s"/>
      <c r="R205" s="397" t="s"/>
    </row>
    <row r="206" spans="1:18">
      <c r="A206" s="385" t="s"/>
      <c r="B206" s="408" t="s"/>
      <c r="C206" s="409" t="s"/>
      <c r="D206" s="410" t="s">
        <v>36</v>
      </c>
      <c r="E206" s="410" t="s">
        <v>37</v>
      </c>
      <c r="F206" s="140">
        <v>0</v>
      </c>
      <c r="G206" s="457" t="s">
        <v>38</v>
      </c>
      <c r="H206" s="458" t="s">
        <f>=D203</f>
        <v>65</v>
      </c>
      <c r="I206" s="459">
        <f>=M205</f>
        <v>45821</v>
      </c>
      <c r="J206" s="459">
        <f>=I206+L206</f>
        <v>46181</v>
      </c>
      <c r="K206" s="459">
        <f>=J206</f>
        <v>46181</v>
      </c>
      <c r="L206" s="460">
        <v>360</v>
      </c>
      <c r="M206" s="461" t="s"/>
      <c r="N206" s="415" t="s"/>
      <c r="O206" s="490">
        <f>=IF(M206="",TODAY()-J206,M206-J206)</f>
        <v>-39</v>
      </c>
      <c r="P206" s="462" t="s">
        <f>=IF(O206&gt;0,"逾期","正常")</f>
        <v>32</v>
      </c>
      <c r="Q206" s="417" t="s"/>
      <c r="R206" s="418" t="s"/>
    </row>
    <row r="207" spans="1:18">
      <c r="A207" s="373" t="s">
        <v>225</v>
      </c>
      <c r="B207" s="374" t="s">
        <v>32</v>
      </c>
      <c r="C207" s="375" t="s">
        <v>210</v>
      </c>
      <c r="D207" s="464" t="s">
        <v>17</v>
      </c>
      <c r="E207" s="464" t="s">
        <v>18</v>
      </c>
      <c r="F207" s="465">
        <v>45789</v>
      </c>
      <c r="G207" s="379" t="s">
        <v>19</v>
      </c>
      <c r="H207" s="379" t="s">
        <v>49</v>
      </c>
      <c r="I207" s="120">
        <f>=F207</f>
        <v>45789</v>
      </c>
      <c r="J207" s="120">
        <v>45801</v>
      </c>
      <c r="K207" s="120">
        <v>45797</v>
      </c>
      <c r="L207" s="91">
        <f>=J207-I207</f>
        <v>12</v>
      </c>
      <c r="M207" s="380">
        <v>45803</v>
      </c>
      <c r="N207" s="381">
        <f>=M207-I207</f>
        <v>14</v>
      </c>
      <c r="O207" s="487">
        <f>=IF(M207="",TODAY()-J207,M207-J207)</f>
        <v>2</v>
      </c>
      <c r="P207" s="131" t="s">
        <f>=IF(O207&gt;0,"逾期","正常")</f>
        <v>21</v>
      </c>
      <c r="Q207" s="494" t="s">
        <v>226</v>
      </c>
      <c r="R207" s="384" t="s"/>
    </row>
    <row r="208" spans="1:18">
      <c r="A208" s="385" t="s"/>
      <c r="B208" s="386" t="s"/>
      <c r="C208" s="387" t="s"/>
      <c r="D208" s="420" t="s">
        <v>227</v>
      </c>
      <c r="E208" s="389" t="s">
        <v>23</v>
      </c>
      <c r="F208" s="390">
        <f>=F209-F207</f>
        <v>34</v>
      </c>
      <c r="G208" s="479" t="s">
        <v>24</v>
      </c>
      <c r="H208" s="479" t="s">
        <v>50</v>
      </c>
      <c r="I208" s="134">
        <f>=M207</f>
        <v>45803</v>
      </c>
      <c r="J208" s="134">
        <f>=F209</f>
        <v>45823</v>
      </c>
      <c r="K208" s="134">
        <f>=J208</f>
        <v>45823</v>
      </c>
      <c r="L208" s="492">
        <f>=J208-I208</f>
        <v>20</v>
      </c>
      <c r="M208" s="406">
        <v>45831</v>
      </c>
      <c r="N208" s="423">
        <f>=M208-I208</f>
        <v>28</v>
      </c>
      <c r="O208" s="490">
        <f>=IF(M208="",TODAY()-J208,M208-J208)</f>
        <v>8</v>
      </c>
      <c r="P208" s="131" t="s">
        <f>=IF(O208&gt;0,"逾期","正常")</f>
        <v>21</v>
      </c>
      <c r="Q208" s="396" t="s">
        <v>228</v>
      </c>
      <c r="R208" s="397" t="s"/>
    </row>
    <row r="209" spans="1:18">
      <c r="A209" s="385" t="s"/>
      <c r="B209" s="386" t="s"/>
      <c r="C209" s="387" t="s"/>
      <c r="D209" s="389" t="s">
        <v>28</v>
      </c>
      <c r="E209" s="389" t="s">
        <v>29</v>
      </c>
      <c r="F209" s="398">
        <v>45823</v>
      </c>
      <c r="G209" s="392" t="s">
        <v>30</v>
      </c>
      <c r="H209" s="392" t="s">
        <v>31</v>
      </c>
      <c r="I209" s="400">
        <f>=M208</f>
        <v>45831</v>
      </c>
      <c r="J209" s="400">
        <f>=I209+L209</f>
        <v>45838</v>
      </c>
      <c r="K209" s="400">
        <f>=J209</f>
        <v>45838</v>
      </c>
      <c r="L209" s="401">
        <v>7</v>
      </c>
      <c r="M209" s="394">
        <v>45834</v>
      </c>
      <c r="N209" s="423">
        <f>=M209-I209</f>
        <v>3</v>
      </c>
      <c r="O209" s="490">
        <f>=IF(M209="",TODAY()-J209,M209-J209)</f>
        <v>-4</v>
      </c>
      <c r="P209" s="131" t="s">
        <f>=IF(O209&gt;0,"逾期","正常")</f>
        <v>32</v>
      </c>
      <c r="Q209" s="396" t="s"/>
      <c r="R209" s="397" t="s"/>
    </row>
    <row r="210" spans="1:18">
      <c r="A210" s="385" t="s"/>
      <c r="B210" s="386" t="s"/>
      <c r="C210" s="387" t="s"/>
      <c r="D210" s="389" t="s">
        <v>46</v>
      </c>
      <c r="E210" s="389" t="s">
        <v>34</v>
      </c>
      <c r="F210" s="136">
        <f>=IF(M208="",TODAY()-F207,M208-F207)</f>
        <v>42</v>
      </c>
      <c r="G210" s="435" t="s">
        <v>35</v>
      </c>
      <c r="H210" s="425" t="s">
        <v>138</v>
      </c>
      <c r="I210" s="426">
        <f>=M209</f>
        <v>45834</v>
      </c>
      <c r="J210" s="426">
        <f>=I210+L210</f>
        <v>45838</v>
      </c>
      <c r="K210" s="426">
        <f>=J210</f>
        <v>45838</v>
      </c>
      <c r="L210" s="427">
        <v>4</v>
      </c>
      <c r="M210" s="428" t="s"/>
      <c r="N210" s="423" t="s"/>
      <c r="O210" s="490">
        <f>=IF(M210="",TODAY()-J210,M210-J210)</f>
        <v>304</v>
      </c>
      <c r="P210" s="131" t="s">
        <f>=IF(O210&gt;0,"逾期","正常")</f>
        <v>21</v>
      </c>
      <c r="Q210" s="396" t="s">
        <v>229</v>
      </c>
      <c r="R210" s="397" t="s"/>
    </row>
    <row r="211" spans="1:18">
      <c r="A211" s="385" t="s"/>
      <c r="B211" s="408" t="s"/>
      <c r="C211" s="409" t="s"/>
      <c r="D211" s="410" t="s">
        <v>36</v>
      </c>
      <c r="E211" s="410" t="s">
        <v>37</v>
      </c>
      <c r="F211" s="140">
        <v>0.9366</v>
      </c>
      <c r="G211" s="477" t="s">
        <v>38</v>
      </c>
      <c r="H211" s="139" t="s">
        <f>=D208</f>
        <v>227</v>
      </c>
      <c r="I211" s="430" t="s"/>
      <c r="J211" s="430" t="s"/>
      <c r="K211" s="430" t="s"/>
      <c r="L211" s="431">
        <v>90</v>
      </c>
      <c r="M211" s="432" t="s"/>
      <c r="N211" s="415" t="s"/>
      <c r="O211" s="490" t="s"/>
      <c r="P211" s="462" t="s">
        <f>=IF(O211&gt;0,"逾期","正常")</f>
        <v>32</v>
      </c>
      <c r="Q211" s="417" t="s">
        <v>230</v>
      </c>
      <c r="R211" s="418" t="s"/>
    </row>
    <row r="212" spans="1:18">
      <c r="A212" s="373" t="s">
        <v>231</v>
      </c>
      <c r="B212" s="374" t="s">
        <v>32</v>
      </c>
      <c r="C212" s="375" t="s">
        <v>232</v>
      </c>
      <c r="D212" s="464" t="s">
        <v>17</v>
      </c>
      <c r="E212" s="464" t="s">
        <v>18</v>
      </c>
      <c r="F212" s="465">
        <v>45797</v>
      </c>
      <c r="G212" s="495" t="s">
        <v>19</v>
      </c>
      <c r="H212" s="495" t="s">
        <v>41</v>
      </c>
      <c r="I212" s="119">
        <f>=F212</f>
        <v>45797</v>
      </c>
      <c r="J212" s="398">
        <v>45934</v>
      </c>
      <c r="K212" s="119">
        <f>=J212-5</f>
        <v>45929</v>
      </c>
      <c r="L212" s="180">
        <f>=J212-I212</f>
        <v>137</v>
      </c>
      <c r="M212" s="496">
        <v>45861</v>
      </c>
      <c r="N212" s="183">
        <f>=M212-I212</f>
        <v>64</v>
      </c>
      <c r="O212" s="181">
        <f>=IF(M212="",TODAY()-J212,M212-J212)</f>
        <v>-73</v>
      </c>
      <c r="P212" s="131" t="s">
        <f>=IF(O212&gt;0,"逾期","正常")</f>
        <v>32</v>
      </c>
      <c r="Q212" s="383" t="s"/>
      <c r="R212" s="384" t="s"/>
    </row>
    <row r="213" spans="1:18">
      <c r="A213" s="385" t="s"/>
      <c r="B213" s="386" t="s"/>
      <c r="C213" s="387" t="s"/>
      <c r="D213" s="420" t="s">
        <v>72</v>
      </c>
      <c r="E213" s="389" t="s">
        <v>23</v>
      </c>
      <c r="F213" s="390">
        <f>=F214-F212</f>
        <v>137</v>
      </c>
      <c r="G213" s="479" t="s">
        <v>24</v>
      </c>
      <c r="H213" s="479" t="s">
        <v>50</v>
      </c>
      <c r="I213" s="134">
        <f>=M212</f>
        <v>45861</v>
      </c>
      <c r="J213" s="134">
        <f>=F214</f>
        <v>45934</v>
      </c>
      <c r="K213" s="134">
        <f>=J213</f>
        <v>45934</v>
      </c>
      <c r="L213" s="492">
        <f>=J213-I213</f>
        <v>73</v>
      </c>
      <c r="M213" s="406">
        <v>45925</v>
      </c>
      <c r="N213" s="403">
        <f>=M213-I213</f>
        <v>64</v>
      </c>
      <c r="O213" s="490">
        <f>=IF(M213="",TODAY()-J213,M213-J213)</f>
        <v>-9</v>
      </c>
      <c r="P213" s="131" t="s">
        <f>=IF(O213&gt;0,"逾期","正常")</f>
        <v>32</v>
      </c>
      <c r="Q213" s="396" t="s">
        <v>233</v>
      </c>
      <c r="R213" s="397" t="s"/>
    </row>
    <row r="214" spans="1:18">
      <c r="A214" s="385" t="s"/>
      <c r="B214" s="386" t="s"/>
      <c r="C214" s="387" t="s"/>
      <c r="D214" s="497" t="s">
        <v>28</v>
      </c>
      <c r="E214" s="389" t="s">
        <v>29</v>
      </c>
      <c r="F214" s="398">
        <v>45934</v>
      </c>
      <c r="G214" s="421" t="s">
        <v>30</v>
      </c>
      <c r="H214" s="421" t="s">
        <v>31</v>
      </c>
      <c r="I214" s="404">
        <f>=M213</f>
        <v>45925</v>
      </c>
      <c r="J214" s="404">
        <f>=I214+L214</f>
        <v>45932</v>
      </c>
      <c r="K214" s="404">
        <f>=J214</f>
        <v>45932</v>
      </c>
      <c r="L214" s="405">
        <v>7</v>
      </c>
      <c r="M214" s="406">
        <v>45927</v>
      </c>
      <c r="N214" s="403">
        <f>=M214-I214</f>
        <v>2</v>
      </c>
      <c r="O214" s="490">
        <f>=IF(M214="",TODAY()-J214,M214-J214)</f>
        <v>-5</v>
      </c>
      <c r="P214" s="131" t="s">
        <f>=IF(O214&gt;0,"逾期","正常")</f>
        <v>32</v>
      </c>
      <c r="Q214" s="396" t="s"/>
      <c r="R214" s="397" t="s"/>
    </row>
    <row r="215" spans="1:18">
      <c r="A215" s="385" t="s"/>
      <c r="B215" s="386" t="s"/>
      <c r="C215" s="387" t="s"/>
      <c r="D215" s="389" t="s">
        <v>51</v>
      </c>
      <c r="E215" s="389" t="s">
        <v>34</v>
      </c>
      <c r="F215" s="136">
        <f>=IF(M213="",TODAY()-F212,M213-F212)</f>
        <v>128</v>
      </c>
      <c r="G215" s="498" t="s">
        <v>35</v>
      </c>
      <c r="H215" s="470" t="s">
        <v>73</v>
      </c>
      <c r="I215" s="471">
        <f>=M214</f>
        <v>45927</v>
      </c>
      <c r="J215" s="471">
        <f>=I215+L215</f>
        <v>46292</v>
      </c>
      <c r="K215" s="471">
        <f>=J215</f>
        <v>46292</v>
      </c>
      <c r="L215" s="472">
        <v>365</v>
      </c>
      <c r="M215" s="473" t="s"/>
      <c r="N215" s="423" t="s"/>
      <c r="O215" s="490">
        <f>=IF(M215="",TODAY()-J215,M215-J215)</f>
        <v>-150</v>
      </c>
      <c r="P215" s="131" t="s">
        <f>=IF(O215&gt;0,"逾期","正常")</f>
        <v>32</v>
      </c>
      <c r="Q215" s="396" t="s"/>
      <c r="R215" s="397" t="s"/>
    </row>
    <row r="216" spans="1:18">
      <c r="A216" s="385" t="s"/>
      <c r="B216" s="408" t="s"/>
      <c r="C216" s="409" t="s"/>
      <c r="D216" s="410" t="s">
        <v>36</v>
      </c>
      <c r="E216" s="410" t="s">
        <v>37</v>
      </c>
      <c r="F216" s="140">
        <v>0.6</v>
      </c>
      <c r="G216" s="477" t="s">
        <v>38</v>
      </c>
      <c r="H216" s="139" t="s">
        <f>=D213</f>
        <v>72</v>
      </c>
      <c r="I216" s="430" t="s"/>
      <c r="J216" s="430" t="s"/>
      <c r="K216" s="430" t="s"/>
      <c r="L216" s="431">
        <v>90</v>
      </c>
      <c r="M216" s="432" t="s"/>
      <c r="N216" s="415" t="s"/>
      <c r="O216" s="490" t="s"/>
      <c r="P216" s="416" t="s">
        <f>=IF(O216&gt;0,"逾期","正常")</f>
        <v>32</v>
      </c>
      <c r="Q216" s="417" t="s"/>
      <c r="R216" s="418" t="s"/>
    </row>
    <row r="217" spans="1:18">
      <c r="A217" s="373" t="s">
        <v>234</v>
      </c>
      <c r="B217" s="374" t="s">
        <v>32</v>
      </c>
      <c r="C217" s="375" t="s">
        <v>235</v>
      </c>
      <c r="D217" s="464" t="s">
        <v>17</v>
      </c>
      <c r="E217" s="464" t="s">
        <v>18</v>
      </c>
      <c r="F217" s="465">
        <v>45803</v>
      </c>
      <c r="G217" s="495" t="s">
        <v>19</v>
      </c>
      <c r="H217" s="495" t="s">
        <v>20</v>
      </c>
      <c r="I217" s="119">
        <f>=F217</f>
        <v>45803</v>
      </c>
      <c r="J217" s="119">
        <v>45818</v>
      </c>
      <c r="K217" s="119">
        <v>45815</v>
      </c>
      <c r="L217" s="180">
        <f>=J217-I217</f>
        <v>15</v>
      </c>
      <c r="M217" s="496">
        <v>45820</v>
      </c>
      <c r="N217" s="183">
        <f>=M217-I217</f>
        <v>17</v>
      </c>
      <c r="O217" s="181">
        <f>=IF(M217="",TODAY()-J217,M217-J217)</f>
        <v>2</v>
      </c>
      <c r="P217" s="131" t="s">
        <f>=IF(O217&gt;0,"逾期","正常")</f>
        <v>21</v>
      </c>
      <c r="Q217" s="383" t="s">
        <v>236</v>
      </c>
      <c r="R217" s="384" t="s"/>
    </row>
    <row r="218" spans="1:18">
      <c r="A218" s="385" t="s"/>
      <c r="B218" s="386" t="s"/>
      <c r="C218" s="387" t="s"/>
      <c r="D218" s="420" t="s">
        <v>57</v>
      </c>
      <c r="E218" s="389" t="s">
        <v>23</v>
      </c>
      <c r="F218" s="390">
        <f>=F219-F217</f>
        <v>45</v>
      </c>
      <c r="G218" s="479" t="s">
        <v>24</v>
      </c>
      <c r="H218" s="479" t="s">
        <v>50</v>
      </c>
      <c r="I218" s="134">
        <f>=M217</f>
        <v>45820</v>
      </c>
      <c r="J218" s="134">
        <f>=F219</f>
        <v>45848</v>
      </c>
      <c r="K218" s="134">
        <f>=J218</f>
        <v>45848</v>
      </c>
      <c r="L218" s="492">
        <f>=J218-I218</f>
        <v>28</v>
      </c>
      <c r="M218" s="406">
        <v>45862</v>
      </c>
      <c r="N218" s="423">
        <f>=M218-I218</f>
        <v>42</v>
      </c>
      <c r="O218" s="490">
        <f>=IF(M218="",TODAY()-J218,M218-J218)</f>
        <v>14</v>
      </c>
      <c r="P218" s="131" t="s">
        <f>=IF(O218&gt;0,"逾期","正常")</f>
        <v>21</v>
      </c>
      <c r="Q218" s="499" t="s">
        <v>237</v>
      </c>
      <c r="R218" s="397" t="s"/>
    </row>
    <row r="219" spans="1:18">
      <c r="A219" s="385" t="s"/>
      <c r="B219" s="386" t="s"/>
      <c r="C219" s="387" t="s"/>
      <c r="D219" s="497" t="s">
        <v>28</v>
      </c>
      <c r="E219" s="389" t="s">
        <v>29</v>
      </c>
      <c r="F219" s="398">
        <v>45848</v>
      </c>
      <c r="G219" s="392" t="s">
        <v>30</v>
      </c>
      <c r="H219" s="392" t="s">
        <v>31</v>
      </c>
      <c r="I219" s="400">
        <f>=M218</f>
        <v>45862</v>
      </c>
      <c r="J219" s="400">
        <f>=I219+L219</f>
        <v>45869</v>
      </c>
      <c r="K219" s="400">
        <f>=J219</f>
        <v>45869</v>
      </c>
      <c r="L219" s="401">
        <v>7</v>
      </c>
      <c r="M219" s="394">
        <v>45863</v>
      </c>
      <c r="N219" s="423">
        <f>=M219-I219</f>
        <v>1</v>
      </c>
      <c r="O219" s="490">
        <f>=IF(M219="",TODAY()-J219,M219-J219)</f>
        <v>-6</v>
      </c>
      <c r="P219" s="131" t="s">
        <f>=IF(O219&gt;0,"逾期","正常")</f>
        <v>32</v>
      </c>
      <c r="Q219" s="396" t="s"/>
      <c r="R219" s="397" t="s"/>
    </row>
    <row r="220" spans="1:18">
      <c r="A220" s="385" t="s"/>
      <c r="B220" s="386" t="s"/>
      <c r="C220" s="387" t="s"/>
      <c r="D220" s="389" t="s">
        <v>33</v>
      </c>
      <c r="E220" s="389" t="s">
        <v>34</v>
      </c>
      <c r="F220" s="136">
        <f>=IF(M218="",TODAY()-F217,M218-F217)</f>
        <v>59</v>
      </c>
      <c r="G220" s="435" t="s">
        <v>35</v>
      </c>
      <c r="H220" s="425" t="s">
        <v>52</v>
      </c>
      <c r="I220" s="426">
        <f>=M219</f>
        <v>45863</v>
      </c>
      <c r="J220" s="426">
        <f>=I220+L220</f>
        <v>45908</v>
      </c>
      <c r="K220" s="426">
        <f>=J220</f>
        <v>45908</v>
      </c>
      <c r="L220" s="427">
        <v>45</v>
      </c>
      <c r="M220" s="428" t="s"/>
      <c r="N220" s="423" t="s"/>
      <c r="O220" s="490">
        <f>=IF(M220="",TODAY()-J220,M220-J220)</f>
        <v>234</v>
      </c>
      <c r="P220" s="131" t="s">
        <f>=IF(O220&gt;0,"逾期","正常")</f>
        <v>21</v>
      </c>
      <c r="Q220" s="396" t="s">
        <v>238</v>
      </c>
      <c r="R220" s="397" t="s"/>
    </row>
    <row r="221" spans="1:18">
      <c r="A221" s="385" t="s"/>
      <c r="B221" s="408" t="s"/>
      <c r="C221" s="409" t="s"/>
      <c r="D221" s="410" t="s">
        <v>36</v>
      </c>
      <c r="E221" s="410" t="s">
        <v>37</v>
      </c>
      <c r="F221" s="140">
        <v>0.5</v>
      </c>
      <c r="G221" s="477" t="s">
        <v>38</v>
      </c>
      <c r="H221" s="139" t="s">
        <f>=D218</f>
        <v>57</v>
      </c>
      <c r="I221" s="430" t="s"/>
      <c r="J221" s="430" t="s"/>
      <c r="K221" s="430" t="s"/>
      <c r="L221" s="431">
        <v>90</v>
      </c>
      <c r="M221" s="432" t="s"/>
      <c r="N221" s="415" t="s"/>
      <c r="O221" s="490" t="s"/>
      <c r="P221" s="462" t="s">
        <f>=IF(O221&gt;0,"逾期","正常")</f>
        <v>32</v>
      </c>
      <c r="Q221" s="417" t="s"/>
      <c r="R221" s="418" t="s"/>
    </row>
    <row r="222" spans="1:18">
      <c r="A222" s="373" t="s">
        <v>239</v>
      </c>
      <c r="B222" s="374" t="s">
        <v>32</v>
      </c>
      <c r="C222" s="375" t="s">
        <v>240</v>
      </c>
      <c r="D222" s="464" t="s">
        <v>17</v>
      </c>
      <c r="E222" s="464" t="s">
        <v>18</v>
      </c>
      <c r="F222" s="465">
        <v>45803</v>
      </c>
      <c r="G222" s="495" t="s">
        <v>19</v>
      </c>
      <c r="H222" s="495" t="s">
        <v>20</v>
      </c>
      <c r="I222" s="119">
        <f>=F222</f>
        <v>45803</v>
      </c>
      <c r="J222" s="119">
        <v>45818</v>
      </c>
      <c r="K222" s="119">
        <v>45815</v>
      </c>
      <c r="L222" s="180">
        <f>=J222-I222</f>
        <v>15</v>
      </c>
      <c r="M222" s="496">
        <v>45833</v>
      </c>
      <c r="N222" s="381">
        <f>=M222-I222</f>
        <v>30</v>
      </c>
      <c r="O222" s="487">
        <f>=IF(M222="",TODAY()-J222,M222-J222)</f>
        <v>15</v>
      </c>
      <c r="P222" s="131" t="s">
        <f>=IF(O222&gt;0,"逾期","正常")</f>
        <v>21</v>
      </c>
      <c r="Q222" s="383" t="s">
        <v>241</v>
      </c>
      <c r="R222" s="384" t="s"/>
    </row>
    <row r="223" spans="1:18">
      <c r="A223" s="385" t="s"/>
      <c r="B223" s="386" t="s"/>
      <c r="C223" s="387" t="s"/>
      <c r="D223" s="420" t="s">
        <v>57</v>
      </c>
      <c r="E223" s="389" t="s">
        <v>23</v>
      </c>
      <c r="F223" s="390">
        <f>=F224-F222</f>
        <v>45</v>
      </c>
      <c r="G223" s="479" t="s">
        <v>24</v>
      </c>
      <c r="H223" s="479" t="s">
        <v>25</v>
      </c>
      <c r="I223" s="134">
        <f>=M222</f>
        <v>45833</v>
      </c>
      <c r="J223" s="134">
        <f>=F224</f>
        <v>45848</v>
      </c>
      <c r="K223" s="134">
        <f>=J223</f>
        <v>45848</v>
      </c>
      <c r="L223" s="492">
        <f>=J223-I223</f>
        <v>15</v>
      </c>
      <c r="M223" s="406">
        <v>45854</v>
      </c>
      <c r="N223" s="423">
        <f>=M223-I223</f>
        <v>21</v>
      </c>
      <c r="O223" s="490">
        <f>=IF(M223="",TODAY()-J223,M223-J223)</f>
        <v>6</v>
      </c>
      <c r="P223" s="131" t="s">
        <f>=IF(O223&gt;0,"逾期","正常")</f>
        <v>21</v>
      </c>
      <c r="Q223" s="499" t="s">
        <v>237</v>
      </c>
      <c r="R223" s="397" t="s"/>
    </row>
    <row r="224" spans="1:18">
      <c r="A224" s="385" t="s"/>
      <c r="B224" s="386" t="s"/>
      <c r="C224" s="387" t="s"/>
      <c r="D224" s="497" t="s">
        <v>28</v>
      </c>
      <c r="E224" s="389" t="s">
        <v>29</v>
      </c>
      <c r="F224" s="398">
        <v>45848</v>
      </c>
      <c r="G224" s="392" t="s">
        <v>30</v>
      </c>
      <c r="H224" s="392" t="s">
        <v>31</v>
      </c>
      <c r="I224" s="400">
        <f>=M223</f>
        <v>45854</v>
      </c>
      <c r="J224" s="400">
        <f>=I224+L224</f>
        <v>45861</v>
      </c>
      <c r="K224" s="400">
        <f>=J224</f>
        <v>45861</v>
      </c>
      <c r="L224" s="401">
        <v>7</v>
      </c>
      <c r="M224" s="394">
        <v>45853</v>
      </c>
      <c r="N224" s="423">
        <f>=M224-I224</f>
        <v>-1</v>
      </c>
      <c r="O224" s="490">
        <f>=IF(M224="",TODAY()-J224,M224-J224)</f>
        <v>-8</v>
      </c>
      <c r="P224" s="131" t="s">
        <f>=IF(O224&gt;0,"逾期","正常")</f>
        <v>32</v>
      </c>
      <c r="Q224" s="396" t="s"/>
      <c r="R224" s="397" t="s"/>
    </row>
    <row r="225" spans="1:18">
      <c r="A225" s="385" t="s"/>
      <c r="B225" s="386" t="s"/>
      <c r="C225" s="387" t="s"/>
      <c r="D225" s="389" t="s">
        <v>33</v>
      </c>
      <c r="E225" s="389" t="s">
        <v>34</v>
      </c>
      <c r="F225" s="136">
        <f>=IF(M223="",TODAY()-F222,M223-F222)</f>
        <v>51</v>
      </c>
      <c r="G225" s="421" t="s">
        <v>35</v>
      </c>
      <c r="H225" s="403" t="s">
        <v>52</v>
      </c>
      <c r="I225" s="404">
        <f>=M224</f>
        <v>45853</v>
      </c>
      <c r="J225" s="404">
        <f>=I225+L225</f>
        <v>45860</v>
      </c>
      <c r="K225" s="404">
        <f>=J225</f>
        <v>45860</v>
      </c>
      <c r="L225" s="405">
        <v>7</v>
      </c>
      <c r="M225" s="406">
        <v>45874</v>
      </c>
      <c r="N225" s="423">
        <f>=M225-I225</f>
        <v>21</v>
      </c>
      <c r="O225" s="490">
        <f>=IF(M225="",TODAY()-J225,M225-J225)</f>
        <v>14</v>
      </c>
      <c r="P225" s="131" t="s">
        <f>=IF(O225&gt;0,"逾期","正常")</f>
        <v>21</v>
      </c>
      <c r="Q225" s="396" t="s">
        <v>242</v>
      </c>
      <c r="R225" s="397" t="s"/>
    </row>
    <row r="226" spans="1:18">
      <c r="A226" s="385" t="s"/>
      <c r="B226" s="408" t="s"/>
      <c r="C226" s="409" t="s"/>
      <c r="D226" s="410" t="s">
        <v>36</v>
      </c>
      <c r="E226" s="410" t="s">
        <v>37</v>
      </c>
      <c r="F226" s="140">
        <v>0.5</v>
      </c>
      <c r="G226" s="411" t="s">
        <v>38</v>
      </c>
      <c r="H226" s="142" t="s">
        <f>=D223</f>
        <v>57</v>
      </c>
      <c r="I226" s="412">
        <f>=M225</f>
        <v>45874</v>
      </c>
      <c r="J226" s="412">
        <f>=I226+L226</f>
        <v>45964</v>
      </c>
      <c r="K226" s="412">
        <f>=J226</f>
        <v>45964</v>
      </c>
      <c r="L226" s="413">
        <v>90</v>
      </c>
      <c r="M226" s="414" t="s"/>
      <c r="N226" s="415" t="s"/>
      <c r="O226" s="490">
        <f>=IF(M226="",TODAY()-J226,M226-J226)</f>
        <v>178</v>
      </c>
      <c r="P226" s="462" t="s">
        <f>=IF(O226&gt;0,"逾期","正常")</f>
        <v>21</v>
      </c>
      <c r="Q226" s="417" t="s"/>
      <c r="R226" s="418" t="s"/>
    </row>
    <row r="227" spans="1:18">
      <c r="A227" s="373" t="s">
        <v>243</v>
      </c>
      <c r="B227" s="374" t="s">
        <v>32</v>
      </c>
      <c r="C227" s="375" t="s">
        <v>108</v>
      </c>
      <c r="D227" s="464" t="s">
        <v>17</v>
      </c>
      <c r="E227" s="464" t="s">
        <v>18</v>
      </c>
      <c r="F227" s="465">
        <v>45803</v>
      </c>
      <c r="G227" s="379" t="s">
        <v>19</v>
      </c>
      <c r="H227" s="379" t="s">
        <v>119</v>
      </c>
      <c r="I227" s="120">
        <f>=F227</f>
        <v>45803</v>
      </c>
      <c r="J227" s="120">
        <v>45818</v>
      </c>
      <c r="K227" s="120">
        <v>45815</v>
      </c>
      <c r="L227" s="91">
        <f>=J227-I227</f>
        <v>15</v>
      </c>
      <c r="M227" s="380">
        <v>45811</v>
      </c>
      <c r="N227" s="381">
        <f>=M227-I227</f>
        <v>8</v>
      </c>
      <c r="O227" s="487">
        <f>=IF(M227="",TODAY()-J227,M227-J227)</f>
        <v>-7</v>
      </c>
      <c r="P227" s="131" t="s">
        <f>=IF(O227&gt;0,"逾期","正常")</f>
        <v>32</v>
      </c>
      <c r="Q227" s="383" t="s"/>
      <c r="R227" s="384" t="s"/>
    </row>
    <row r="228" spans="1:18">
      <c r="A228" s="385" t="s"/>
      <c r="B228" s="386" t="s"/>
      <c r="C228" s="387" t="s"/>
      <c r="D228" s="420" t="s">
        <v>22</v>
      </c>
      <c r="E228" s="389" t="s">
        <v>23</v>
      </c>
      <c r="F228" s="390">
        <f>=F229-F227</f>
        <v>35</v>
      </c>
      <c r="G228" s="479" t="s">
        <v>24</v>
      </c>
      <c r="H228" s="479" t="s">
        <v>50</v>
      </c>
      <c r="I228" s="134">
        <f>=M227</f>
        <v>45811</v>
      </c>
      <c r="J228" s="134">
        <f>=F229</f>
        <v>45838</v>
      </c>
      <c r="K228" s="134">
        <f>=J228</f>
        <v>45838</v>
      </c>
      <c r="L228" s="492">
        <f>=J228-I228</f>
        <v>27</v>
      </c>
      <c r="M228" s="406">
        <v>45835</v>
      </c>
      <c r="N228" s="423">
        <f>=M228-I228</f>
        <v>24</v>
      </c>
      <c r="O228" s="490">
        <f>=IF(M228="",TODAY()-J228,M228-J228)</f>
        <v>-3</v>
      </c>
      <c r="P228" s="131" t="s">
        <f>=IF(O228&gt;0,"逾期","正常")</f>
        <v>32</v>
      </c>
      <c r="Q228" s="396" t="s"/>
      <c r="R228" s="397" t="s"/>
    </row>
    <row r="229" spans="1:18">
      <c r="A229" s="385" t="s"/>
      <c r="B229" s="386" t="s"/>
      <c r="C229" s="387" t="s"/>
      <c r="D229" s="497" t="s">
        <v>28</v>
      </c>
      <c r="E229" s="389" t="s">
        <v>29</v>
      </c>
      <c r="F229" s="398">
        <v>45838</v>
      </c>
      <c r="G229" s="421" t="s">
        <v>30</v>
      </c>
      <c r="H229" s="421" t="s">
        <v>31</v>
      </c>
      <c r="I229" s="404">
        <f>=M228</f>
        <v>45835</v>
      </c>
      <c r="J229" s="404">
        <f>=I229+L229</f>
        <v>45842</v>
      </c>
      <c r="K229" s="404">
        <f>=J229</f>
        <v>45842</v>
      </c>
      <c r="L229" s="405">
        <v>7</v>
      </c>
      <c r="M229" s="406">
        <v>45836</v>
      </c>
      <c r="N229" s="423">
        <f>=M229-I229</f>
        <v>1</v>
      </c>
      <c r="O229" s="490">
        <f>=IF(M229="",TODAY()-J229,M229-J229)</f>
        <v>-6</v>
      </c>
      <c r="P229" s="131" t="s">
        <f>=IF(O229&gt;0,"逾期","正常")</f>
        <v>32</v>
      </c>
      <c r="Q229" s="396" t="s"/>
      <c r="R229" s="397" t="s"/>
    </row>
    <row r="230" spans="1:18">
      <c r="A230" s="385" t="s"/>
      <c r="B230" s="386" t="s"/>
      <c r="C230" s="387" t="s"/>
      <c r="D230" s="389" t="s">
        <v>46</v>
      </c>
      <c r="E230" s="389" t="s">
        <v>34</v>
      </c>
      <c r="F230" s="136">
        <f>=IF(M228="",TODAY()-F227,M228-F227)</f>
        <v>32</v>
      </c>
      <c r="G230" s="421" t="s">
        <v>35</v>
      </c>
      <c r="H230" s="403" t="s">
        <v>80</v>
      </c>
      <c r="I230" s="404">
        <f>=M229</f>
        <v>45836</v>
      </c>
      <c r="J230" s="404">
        <f>=I230+L230</f>
        <v>45844</v>
      </c>
      <c r="K230" s="404">
        <f>=J230</f>
        <v>45844</v>
      </c>
      <c r="L230" s="405">
        <v>8</v>
      </c>
      <c r="M230" s="406">
        <v>45857</v>
      </c>
      <c r="N230" s="423">
        <f>=M230-I230</f>
        <v>21</v>
      </c>
      <c r="O230" s="490">
        <f>=IF(M230="",TODAY()-J230,M230-J230)</f>
        <v>13</v>
      </c>
      <c r="P230" s="131" t="s">
        <f>=IF(O230&gt;0,"逾期","正常")</f>
        <v>21</v>
      </c>
      <c r="Q230" s="396" t="s">
        <v>244</v>
      </c>
      <c r="R230" s="397" t="s"/>
    </row>
    <row r="231" spans="1:18">
      <c r="A231" s="385" t="s"/>
      <c r="B231" s="408" t="s"/>
      <c r="C231" s="409" t="s"/>
      <c r="D231" s="410" t="s">
        <v>36</v>
      </c>
      <c r="E231" s="410" t="s">
        <v>37</v>
      </c>
      <c r="F231" s="140">
        <v>0.86</v>
      </c>
      <c r="G231" s="411" t="s">
        <v>38</v>
      </c>
      <c r="H231" s="142" t="s">
        <f>=D228</f>
        <v>22</v>
      </c>
      <c r="I231" s="412">
        <f>=M230</f>
        <v>45857</v>
      </c>
      <c r="J231" s="412">
        <f>=I231+L231</f>
        <v>45947</v>
      </c>
      <c r="K231" s="412">
        <f>=J231</f>
        <v>45947</v>
      </c>
      <c r="L231" s="413">
        <v>90</v>
      </c>
      <c r="M231" s="414" t="s"/>
      <c r="N231" s="415" t="s"/>
      <c r="O231" s="490">
        <f>=IF(M231="",TODAY()-J231,M231-J231)</f>
        <v>195</v>
      </c>
      <c r="P231" s="462" t="s">
        <f>=IF(O231&gt;0,"逾期","正常")</f>
        <v>21</v>
      </c>
      <c r="Q231" s="417" t="s"/>
      <c r="R231" s="418" t="s"/>
    </row>
    <row r="232" spans="1:18">
      <c r="A232" s="373" t="s">
        <v>245</v>
      </c>
      <c r="B232" s="374" t="s">
        <v>32</v>
      </c>
      <c r="C232" s="375" t="s">
        <v>246</v>
      </c>
      <c r="D232" s="464" t="s">
        <v>17</v>
      </c>
      <c r="E232" s="464" t="s">
        <v>18</v>
      </c>
      <c r="F232" s="465">
        <v>45807</v>
      </c>
      <c r="G232" s="495" t="s">
        <v>19</v>
      </c>
      <c r="H232" s="495" t="s">
        <v>20</v>
      </c>
      <c r="I232" s="119">
        <f>=F232</f>
        <v>45807</v>
      </c>
      <c r="J232" s="119">
        <v>45827</v>
      </c>
      <c r="K232" s="119">
        <v>45822</v>
      </c>
      <c r="L232" s="180">
        <f>=J232-I232</f>
        <v>20</v>
      </c>
      <c r="M232" s="496">
        <v>45833</v>
      </c>
      <c r="N232" s="381">
        <f>=M232-I232</f>
        <v>26</v>
      </c>
      <c r="O232" s="487">
        <f>=IF(M232="",TODAY()-J232,M232-J232)</f>
        <v>6</v>
      </c>
      <c r="P232" s="131" t="s">
        <f>=IF(O232&gt;0,"逾期","正常")</f>
        <v>21</v>
      </c>
      <c r="Q232" s="383" t="s">
        <v>247</v>
      </c>
      <c r="R232" s="384" t="s"/>
    </row>
    <row r="233" spans="1:18">
      <c r="A233" s="385" t="s"/>
      <c r="B233" s="386" t="s"/>
      <c r="C233" s="387" t="s"/>
      <c r="D233" s="420" t="s">
        <v>57</v>
      </c>
      <c r="E233" s="389" t="s">
        <v>23</v>
      </c>
      <c r="F233" s="390">
        <f>=F234-F232</f>
        <v>30</v>
      </c>
      <c r="G233" s="479" t="s">
        <v>24</v>
      </c>
      <c r="H233" s="479" t="s">
        <v>50</v>
      </c>
      <c r="I233" s="134">
        <f>=M232</f>
        <v>45833</v>
      </c>
      <c r="J233" s="134">
        <f>=F234</f>
        <v>45837</v>
      </c>
      <c r="K233" s="134">
        <f>=J233</f>
        <v>45837</v>
      </c>
      <c r="L233" s="492">
        <f>=J233-I233</f>
        <v>4</v>
      </c>
      <c r="M233" s="406">
        <v>45833</v>
      </c>
      <c r="N233" s="423">
        <f>=M233-I233</f>
        <v>0</v>
      </c>
      <c r="O233" s="490">
        <f>=IF(M233="",TODAY()-J233,M233-J233)</f>
        <v>-4</v>
      </c>
      <c r="P233" s="131" t="s">
        <f>=IF(O233&gt;0,"逾期","正常")</f>
        <v>32</v>
      </c>
      <c r="Q233" s="396" t="s"/>
      <c r="R233" s="397" t="s"/>
    </row>
    <row r="234" spans="1:18">
      <c r="A234" s="385" t="s"/>
      <c r="B234" s="386" t="s"/>
      <c r="C234" s="387" t="s"/>
      <c r="D234" s="497" t="s">
        <v>28</v>
      </c>
      <c r="E234" s="389" t="s">
        <v>29</v>
      </c>
      <c r="F234" s="398">
        <v>45837</v>
      </c>
      <c r="G234" s="421" t="s">
        <v>30</v>
      </c>
      <c r="H234" s="421" t="s">
        <v>31</v>
      </c>
      <c r="I234" s="404">
        <f>=M233</f>
        <v>45833</v>
      </c>
      <c r="J234" s="404">
        <f>=I234+L234</f>
        <v>45840</v>
      </c>
      <c r="K234" s="404">
        <f>=J234</f>
        <v>45840</v>
      </c>
      <c r="L234" s="405">
        <v>7</v>
      </c>
      <c r="M234" s="406">
        <v>45835</v>
      </c>
      <c r="N234" s="423">
        <f>=M234-I234</f>
        <v>2</v>
      </c>
      <c r="O234" s="490">
        <f>=IF(M234="",TODAY()-J234,M234-J234)</f>
        <v>-5</v>
      </c>
      <c r="P234" s="131" t="s">
        <f>=IF(O234&gt;0,"逾期","正常")</f>
        <v>32</v>
      </c>
      <c r="Q234" s="396" t="s"/>
      <c r="R234" s="397" t="s"/>
    </row>
    <row r="235" spans="1:18">
      <c r="A235" s="385" t="s"/>
      <c r="B235" s="386" t="s"/>
      <c r="C235" s="387" t="s"/>
      <c r="D235" s="389" t="s">
        <v>33</v>
      </c>
      <c r="E235" s="389" t="s">
        <v>34</v>
      </c>
      <c r="F235" s="136">
        <f>=IF(M233="",TODAY()-F232,M233-F232)</f>
        <v>26</v>
      </c>
      <c r="G235" s="421" t="s">
        <v>35</v>
      </c>
      <c r="H235" s="403" t="s">
        <v>99</v>
      </c>
      <c r="I235" s="404">
        <f>=M234</f>
        <v>45835</v>
      </c>
      <c r="J235" s="404">
        <f>=I235+L235</f>
        <v>45853</v>
      </c>
      <c r="K235" s="404">
        <f>=J235</f>
        <v>45853</v>
      </c>
      <c r="L235" s="405">
        <v>18</v>
      </c>
      <c r="M235" s="406">
        <v>45919</v>
      </c>
      <c r="N235" s="423">
        <f>=M235-I235</f>
        <v>84</v>
      </c>
      <c r="O235" s="490">
        <f>=IF(M235="",TODAY()-J235,M235-J235)</f>
        <v>66</v>
      </c>
      <c r="P235" s="131" t="s">
        <f>=IF(O235&gt;0,"逾期","正常")</f>
        <v>21</v>
      </c>
      <c r="Q235" s="396" t="s">
        <v>248</v>
      </c>
      <c r="R235" s="397" t="s"/>
    </row>
    <row r="236" spans="1:18">
      <c r="A236" s="385" t="s"/>
      <c r="B236" s="408" t="s"/>
      <c r="C236" s="409" t="s"/>
      <c r="D236" s="410" t="s">
        <v>36</v>
      </c>
      <c r="E236" s="410" t="s">
        <v>37</v>
      </c>
      <c r="F236" s="140">
        <v>0.32</v>
      </c>
      <c r="G236" s="411" t="s">
        <v>38</v>
      </c>
      <c r="H236" s="142" t="s">
        <f>=D233</f>
        <v>57</v>
      </c>
      <c r="I236" s="412">
        <f>=M235</f>
        <v>45919</v>
      </c>
      <c r="J236" s="412">
        <f>=I236+L236</f>
        <v>46009</v>
      </c>
      <c r="K236" s="412">
        <f>=J236</f>
        <v>46009</v>
      </c>
      <c r="L236" s="413">
        <v>90</v>
      </c>
      <c r="M236" s="414" t="s"/>
      <c r="N236" s="415" t="s"/>
      <c r="O236" s="490">
        <f>=IF(M236="",TODAY()-J236,M236-J236)</f>
        <v>133</v>
      </c>
      <c r="P236" s="462" t="s">
        <f>=IF(O236&gt;0,"逾期","正常")</f>
        <v>21</v>
      </c>
      <c r="Q236" s="417" t="s"/>
      <c r="R236" s="418" t="s"/>
    </row>
    <row r="237" spans="1:18">
      <c r="A237" s="373" t="s">
        <v>249</v>
      </c>
      <c r="B237" s="374" t="s">
        <v>32</v>
      </c>
      <c r="C237" s="375" t="s">
        <v>235</v>
      </c>
      <c r="D237" s="464" t="s">
        <v>17</v>
      </c>
      <c r="E237" s="464" t="s">
        <v>18</v>
      </c>
      <c r="F237" s="465">
        <v>45813</v>
      </c>
      <c r="G237" s="495" t="s">
        <v>19</v>
      </c>
      <c r="H237" s="495" t="s">
        <v>49</v>
      </c>
      <c r="I237" s="119">
        <f>=F237</f>
        <v>45813</v>
      </c>
      <c r="J237" s="119">
        <v>45833</v>
      </c>
      <c r="K237" s="119">
        <v>45828</v>
      </c>
      <c r="L237" s="180">
        <f>=J237-I237</f>
        <v>20</v>
      </c>
      <c r="M237" s="496">
        <v>45834</v>
      </c>
      <c r="N237" s="183">
        <f>=M237-I237</f>
        <v>21</v>
      </c>
      <c r="O237" s="181">
        <f>=IF(M237="",TODAY()-J237,M237-J237)</f>
        <v>1</v>
      </c>
      <c r="P237" s="131" t="s">
        <f>=IF(O237&gt;0,"逾期","正常")</f>
        <v>21</v>
      </c>
      <c r="Q237" s="383" t="s">
        <v>250</v>
      </c>
      <c r="R237" s="384" t="s"/>
    </row>
    <row r="238" spans="1:18">
      <c r="A238" s="385" t="s"/>
      <c r="B238" s="386" t="s"/>
      <c r="C238" s="387" t="s"/>
      <c r="D238" s="420" t="s">
        <v>162</v>
      </c>
      <c r="E238" s="389" t="s">
        <v>23</v>
      </c>
      <c r="F238" s="390">
        <f>=F239-F237</f>
        <v>46</v>
      </c>
      <c r="G238" s="500" t="s">
        <v>24</v>
      </c>
      <c r="H238" s="500" t="s">
        <v>50</v>
      </c>
      <c r="I238" s="155">
        <f>=M237</f>
        <v>45834</v>
      </c>
      <c r="J238" s="155">
        <f>=F239</f>
        <v>45859</v>
      </c>
      <c r="K238" s="155">
        <f>=J238</f>
        <v>45859</v>
      </c>
      <c r="L238" s="501">
        <f>=J238-I238</f>
        <v>25</v>
      </c>
      <c r="M238" s="502">
        <v>45945</v>
      </c>
      <c r="N238" s="423">
        <f>=M238-I238</f>
        <v>111</v>
      </c>
      <c r="O238" s="490">
        <f>=IF(M238="",TODAY()-J238,M238-J238)</f>
        <v>86</v>
      </c>
      <c r="P238" s="131" t="s">
        <f>=IF(O238&gt;0,"逾期","正常")</f>
        <v>21</v>
      </c>
      <c r="Q238" s="396" t="s">
        <v>251</v>
      </c>
      <c r="R238" s="397" t="s"/>
    </row>
    <row r="239" spans="1:18">
      <c r="A239" s="385" t="s"/>
      <c r="B239" s="386" t="s"/>
      <c r="C239" s="387" t="s"/>
      <c r="D239" s="497" t="s">
        <v>28</v>
      </c>
      <c r="E239" s="389" t="s">
        <v>29</v>
      </c>
      <c r="F239" s="398">
        <v>45859</v>
      </c>
      <c r="G239" s="392" t="s">
        <v>30</v>
      </c>
      <c r="H239" s="392" t="s">
        <v>31</v>
      </c>
      <c r="I239" s="400">
        <f>=M238</f>
        <v>45945</v>
      </c>
      <c r="J239" s="400">
        <f>=I239+L239</f>
        <v>45952</v>
      </c>
      <c r="K239" s="400">
        <f>=J239</f>
        <v>45952</v>
      </c>
      <c r="L239" s="401">
        <v>7</v>
      </c>
      <c r="M239" s="394">
        <v>45947</v>
      </c>
      <c r="N239" s="423">
        <f>=M239-I239</f>
        <v>2</v>
      </c>
      <c r="O239" s="490">
        <f>=IF(M239="",TODAY()-J239,M239-J239)</f>
        <v>-5</v>
      </c>
      <c r="P239" s="131" t="s">
        <f>=IF(O239&gt;0,"逾期","正常")</f>
        <v>32</v>
      </c>
      <c r="Q239" s="396" t="s"/>
      <c r="R239" s="397" t="s"/>
    </row>
    <row r="240" spans="1:18">
      <c r="A240" s="385" t="s"/>
      <c r="B240" s="386" t="s"/>
      <c r="C240" s="387" t="s"/>
      <c r="D240" s="503" t="s">
        <v>51</v>
      </c>
      <c r="E240" s="389" t="s">
        <v>34</v>
      </c>
      <c r="F240" s="136">
        <f>=IF(M238="",TODAY()-F237,M238-F237)</f>
        <v>132</v>
      </c>
      <c r="G240" s="435" t="s">
        <v>35</v>
      </c>
      <c r="H240" s="425" t="s">
        <v>110</v>
      </c>
      <c r="I240" s="426">
        <f>=M239</f>
        <v>45947</v>
      </c>
      <c r="J240" s="426">
        <f>=I240+L240</f>
        <v>45955</v>
      </c>
      <c r="K240" s="426">
        <f>=J240</f>
        <v>45955</v>
      </c>
      <c r="L240" s="427">
        <v>8</v>
      </c>
      <c r="M240" s="428" t="s"/>
      <c r="N240" s="423" t="s"/>
      <c r="O240" s="490">
        <f>=IF(M240="",TODAY()-J240,M240-J240)</f>
        <v>187</v>
      </c>
      <c r="P240" s="131" t="s">
        <f>=IF(O240&gt;0,"逾期","正常")</f>
        <v>21</v>
      </c>
      <c r="Q240" s="396" t="s">
        <v>252</v>
      </c>
      <c r="R240" s="397" t="s"/>
    </row>
    <row r="241" spans="1:18">
      <c r="A241" s="385" t="s"/>
      <c r="B241" s="408" t="s"/>
      <c r="C241" s="409" t="s"/>
      <c r="D241" s="410" t="s">
        <v>36</v>
      </c>
      <c r="E241" s="410" t="s">
        <v>37</v>
      </c>
      <c r="F241" s="140">
        <v>0.7</v>
      </c>
      <c r="G241" s="477" t="s">
        <v>38</v>
      </c>
      <c r="H241" s="139" t="s">
        <f>=D238</f>
        <v>162</v>
      </c>
      <c r="I241" s="430" t="s"/>
      <c r="J241" s="430" t="s"/>
      <c r="K241" s="430" t="s"/>
      <c r="L241" s="431">
        <v>90</v>
      </c>
      <c r="M241" s="432" t="s"/>
      <c r="N241" s="415" t="s"/>
      <c r="O241" s="490" t="s"/>
      <c r="P241" s="462" t="s">
        <f>=IF(O241&gt;0,"逾期","正常")</f>
        <v>32</v>
      </c>
      <c r="Q241" s="417" t="s">
        <v>164</v>
      </c>
      <c r="R241" s="418" t="s"/>
    </row>
    <row r="242" spans="1:18">
      <c r="A242" s="373" t="s">
        <v>253</v>
      </c>
      <c r="B242" s="374" t="s">
        <v>32</v>
      </c>
      <c r="C242" s="375" t="s">
        <v>89</v>
      </c>
      <c r="D242" s="464" t="s">
        <v>17</v>
      </c>
      <c r="E242" s="464" t="s">
        <v>18</v>
      </c>
      <c r="F242" s="465">
        <v>45813</v>
      </c>
      <c r="G242" s="495" t="s">
        <v>19</v>
      </c>
      <c r="H242" s="495" t="s">
        <v>63</v>
      </c>
      <c r="I242" s="119">
        <f>=F242</f>
        <v>45813</v>
      </c>
      <c r="J242" s="119">
        <v>45828</v>
      </c>
      <c r="K242" s="119">
        <v>45825</v>
      </c>
      <c r="L242" s="180">
        <f>=J242-I242</f>
        <v>15</v>
      </c>
      <c r="M242" s="496">
        <v>45831</v>
      </c>
      <c r="N242" s="183">
        <f>=M242-I242</f>
        <v>18</v>
      </c>
      <c r="O242" s="181">
        <f>=IF(M242="",TODAY()-J242,M242-J242)</f>
        <v>3</v>
      </c>
      <c r="P242" s="131" t="s">
        <f>=IF(O242&gt;0,"逾期","正常")</f>
        <v>21</v>
      </c>
      <c r="Q242" s="383" t="s">
        <v>254</v>
      </c>
      <c r="R242" s="384" t="s"/>
    </row>
    <row r="243" spans="1:18">
      <c r="A243" s="385" t="s"/>
      <c r="B243" s="386" t="s"/>
      <c r="C243" s="387" t="s"/>
      <c r="D243" s="420" t="s">
        <v>255</v>
      </c>
      <c r="E243" s="389" t="s">
        <v>23</v>
      </c>
      <c r="F243" s="390">
        <f>=F244-F242</f>
        <v>35</v>
      </c>
      <c r="G243" s="479" t="s">
        <v>24</v>
      </c>
      <c r="H243" s="479" t="s">
        <v>50</v>
      </c>
      <c r="I243" s="134">
        <f>=M242</f>
        <v>45831</v>
      </c>
      <c r="J243" s="134">
        <f>=F244</f>
        <v>45848</v>
      </c>
      <c r="K243" s="134">
        <f>=J243</f>
        <v>45848</v>
      </c>
      <c r="L243" s="492">
        <f>=J243-I243</f>
        <v>17</v>
      </c>
      <c r="M243" s="406">
        <v>45883</v>
      </c>
      <c r="N243" s="423">
        <f>=M243-I243</f>
        <v>52</v>
      </c>
      <c r="O243" s="490">
        <f>=IF(M243="",TODAY()-J243,M243-J243)</f>
        <v>35</v>
      </c>
      <c r="P243" s="131" t="s">
        <f>=IF(O243&gt;0,"逾期","正常")</f>
        <v>21</v>
      </c>
      <c r="Q243" s="499" t="s">
        <v>237</v>
      </c>
      <c r="R243" s="397" t="s"/>
    </row>
    <row r="244" spans="1:18">
      <c r="A244" s="385" t="s"/>
      <c r="B244" s="386" t="s"/>
      <c r="C244" s="387" t="s"/>
      <c r="D244" s="497" t="s">
        <v>28</v>
      </c>
      <c r="E244" s="389" t="s">
        <v>29</v>
      </c>
      <c r="F244" s="398">
        <v>45848</v>
      </c>
      <c r="G244" s="421" t="s">
        <v>30</v>
      </c>
      <c r="H244" s="421" t="s">
        <v>31</v>
      </c>
      <c r="I244" s="404">
        <f>=M243</f>
        <v>45883</v>
      </c>
      <c r="J244" s="404">
        <f>=I244+L244</f>
        <v>45890</v>
      </c>
      <c r="K244" s="404">
        <f>=J244</f>
        <v>45890</v>
      </c>
      <c r="L244" s="405">
        <v>7</v>
      </c>
      <c r="M244" s="406">
        <v>45883</v>
      </c>
      <c r="N244" s="423">
        <f>=M244-I244</f>
        <v>0</v>
      </c>
      <c r="O244" s="490">
        <f>=IF(M244="",TODAY()-J244,M244-J244)</f>
        <v>-7</v>
      </c>
      <c r="P244" s="131" t="s">
        <f>=IF(O244&gt;0,"逾期","正常")</f>
        <v>32</v>
      </c>
      <c r="Q244" s="396" t="s"/>
      <c r="R244" s="397" t="s"/>
    </row>
    <row r="245" spans="1:18">
      <c r="A245" s="385" t="s"/>
      <c r="B245" s="386" t="s"/>
      <c r="C245" s="387" t="s"/>
      <c r="D245" s="389" t="s">
        <v>46</v>
      </c>
      <c r="E245" s="389" t="s">
        <v>34</v>
      </c>
      <c r="F245" s="136">
        <f>=IF(M243="",TODAY()-F242,M243-F242)</f>
        <v>70</v>
      </c>
      <c r="G245" s="421" t="s">
        <v>35</v>
      </c>
      <c r="H245" s="403" t="s">
        <v>256</v>
      </c>
      <c r="I245" s="404">
        <f>=M244</f>
        <v>45883</v>
      </c>
      <c r="J245" s="404">
        <f>=I245+L245</f>
        <v>45888</v>
      </c>
      <c r="K245" s="404">
        <f>=J245</f>
        <v>45888</v>
      </c>
      <c r="L245" s="405">
        <v>5</v>
      </c>
      <c r="M245" s="406">
        <v>46036</v>
      </c>
      <c r="N245" s="423">
        <f>=M245-I245</f>
        <v>153</v>
      </c>
      <c r="O245" s="490">
        <f>=IF(M245="",TODAY()-J245,M245-J245)</f>
        <v>148</v>
      </c>
      <c r="P245" s="131" t="s">
        <f>=IF(O245&gt;0,"逾期","正常")</f>
        <v>21</v>
      </c>
      <c r="Q245" s="396" t="s">
        <v>257</v>
      </c>
      <c r="R245" s="397" t="s"/>
    </row>
    <row r="246" spans="1:18">
      <c r="A246" s="385" t="s"/>
      <c r="B246" s="408" t="s"/>
      <c r="C246" s="409" t="s"/>
      <c r="D246" s="410" t="s">
        <v>36</v>
      </c>
      <c r="E246" s="410" t="s">
        <v>37</v>
      </c>
      <c r="F246" s="140">
        <v>0.9</v>
      </c>
      <c r="G246" s="504" t="s">
        <v>38</v>
      </c>
      <c r="H246" s="505" t="s">
        <f>=D243</f>
        <v>255</v>
      </c>
      <c r="I246" s="506">
        <f>=M245</f>
        <v>46036</v>
      </c>
      <c r="J246" s="506">
        <f>=I246+L246</f>
        <v>46126</v>
      </c>
      <c r="K246" s="506">
        <f>=J246</f>
        <v>46126</v>
      </c>
      <c r="L246" s="507">
        <v>90</v>
      </c>
      <c r="M246" s="508" t="s"/>
      <c r="N246" s="415" t="s"/>
      <c r="O246" s="490">
        <f>=IF(M246="",TODAY()-J246,M246-J246)</f>
        <v>16</v>
      </c>
      <c r="P246" s="462" t="s">
        <f>=IF(O246&gt;0,"逾期","正常")</f>
        <v>21</v>
      </c>
      <c r="Q246" s="417" t="s"/>
      <c r="R246" s="418" t="s"/>
    </row>
    <row r="247" spans="1:18">
      <c r="A247" s="373" t="s">
        <v>258</v>
      </c>
      <c r="B247" s="374" t="s">
        <v>32</v>
      </c>
      <c r="C247" s="375" t="s">
        <v>259</v>
      </c>
      <c r="D247" s="464" t="s">
        <v>17</v>
      </c>
      <c r="E247" s="464" t="s">
        <v>18</v>
      </c>
      <c r="F247" s="465">
        <v>45821</v>
      </c>
      <c r="G247" s="495" t="s">
        <v>19</v>
      </c>
      <c r="H247" s="495" t="s">
        <v>20</v>
      </c>
      <c r="I247" s="119">
        <f>=F247</f>
        <v>45821</v>
      </c>
      <c r="J247" s="119">
        <v>45836</v>
      </c>
      <c r="K247" s="119">
        <v>45831</v>
      </c>
      <c r="L247" s="180">
        <f>=J247-I247</f>
        <v>15</v>
      </c>
      <c r="M247" s="496">
        <v>45821</v>
      </c>
      <c r="N247" s="381">
        <f>=M247-I247</f>
        <v>0</v>
      </c>
      <c r="O247" s="487">
        <f>=IF(M247="",TODAY()-J247,M247-J247)</f>
        <v>-15</v>
      </c>
      <c r="P247" s="131" t="s">
        <f>=IF(O247&gt;0,"逾期","正常")</f>
        <v>32</v>
      </c>
      <c r="Q247" s="383" t="s"/>
      <c r="R247" s="384" t="s"/>
    </row>
    <row r="248" spans="1:18">
      <c r="A248" s="385" t="s"/>
      <c r="B248" s="386" t="s"/>
      <c r="C248" s="387" t="s"/>
      <c r="D248" s="420" t="s">
        <v>57</v>
      </c>
      <c r="E248" s="389" t="s">
        <v>23</v>
      </c>
      <c r="F248" s="390">
        <f>=F249-F247</f>
        <v>30</v>
      </c>
      <c r="G248" s="479" t="s">
        <v>24</v>
      </c>
      <c r="H248" s="479" t="s">
        <v>50</v>
      </c>
      <c r="I248" s="134">
        <f>=M247</f>
        <v>45821</v>
      </c>
      <c r="J248" s="134">
        <f>=F249</f>
        <v>45851</v>
      </c>
      <c r="K248" s="134">
        <f>=J248</f>
        <v>45851</v>
      </c>
      <c r="L248" s="492">
        <f>=J248-I248</f>
        <v>30</v>
      </c>
      <c r="M248" s="406">
        <v>45836</v>
      </c>
      <c r="N248" s="423">
        <f>=M248-I248</f>
        <v>15</v>
      </c>
      <c r="O248" s="490">
        <f>=IF(M248="",TODAY()-J248,M248-J248)</f>
        <v>-15</v>
      </c>
      <c r="P248" s="131" t="s">
        <f>=IF(O248&gt;0,"逾期","正常")</f>
        <v>32</v>
      </c>
      <c r="Q248" s="396" t="s"/>
      <c r="R248" s="397" t="s"/>
    </row>
    <row r="249" spans="1:18">
      <c r="A249" s="385" t="s"/>
      <c r="B249" s="386" t="s"/>
      <c r="C249" s="387" t="s"/>
      <c r="D249" s="497" t="s">
        <v>28</v>
      </c>
      <c r="E249" s="389" t="s">
        <v>29</v>
      </c>
      <c r="F249" s="398">
        <v>45851</v>
      </c>
      <c r="G249" s="392" t="s">
        <v>30</v>
      </c>
      <c r="H249" s="392" t="s">
        <v>31</v>
      </c>
      <c r="I249" s="400">
        <f>=M248</f>
        <v>45836</v>
      </c>
      <c r="J249" s="400">
        <f>=I249+L249</f>
        <v>45843</v>
      </c>
      <c r="K249" s="400">
        <f>=J249</f>
        <v>45843</v>
      </c>
      <c r="L249" s="401">
        <v>7</v>
      </c>
      <c r="M249" s="394">
        <v>45838</v>
      </c>
      <c r="N249" s="423">
        <f>=M249-I249</f>
        <v>2</v>
      </c>
      <c r="O249" s="490">
        <f>=IF(M249="",TODAY()-J249,M249-J249)</f>
        <v>-5</v>
      </c>
      <c r="P249" s="131" t="s">
        <f>=IF(O249&gt;0,"逾期","正常")</f>
        <v>32</v>
      </c>
      <c r="Q249" s="396" t="s"/>
      <c r="R249" s="397" t="s"/>
    </row>
    <row r="250" spans="1:18">
      <c r="A250" s="385" t="s"/>
      <c r="B250" s="386" t="s"/>
      <c r="C250" s="387" t="s"/>
      <c r="D250" s="389" t="s">
        <v>33</v>
      </c>
      <c r="E250" s="389" t="s">
        <v>34</v>
      </c>
      <c r="F250" s="136">
        <f>=IF(M248="",TODAY()-F247,M248-F247)</f>
        <v>15</v>
      </c>
      <c r="G250" s="421" t="s">
        <v>35</v>
      </c>
      <c r="H250" s="403" t="s">
        <v>58</v>
      </c>
      <c r="I250" s="404">
        <f>=M249</f>
        <v>45838</v>
      </c>
      <c r="J250" s="404">
        <f>=I250+L250</f>
        <v>45883</v>
      </c>
      <c r="K250" s="404">
        <f>=J250</f>
        <v>45883</v>
      </c>
      <c r="L250" s="405">
        <v>45</v>
      </c>
      <c r="M250" s="406">
        <v>45927</v>
      </c>
      <c r="N250" s="423">
        <f>=M250-I250</f>
        <v>89</v>
      </c>
      <c r="O250" s="490">
        <f>=IF(M250="",TODAY()-J250,M250-J250)</f>
        <v>44</v>
      </c>
      <c r="P250" s="131" t="s">
        <f>=IF(O250&gt;0,"逾期","正常")</f>
        <v>21</v>
      </c>
      <c r="Q250" s="396" t="s">
        <v>260</v>
      </c>
      <c r="R250" s="397" t="s"/>
    </row>
    <row r="251" spans="1:18">
      <c r="A251" s="385" t="s"/>
      <c r="B251" s="408" t="s"/>
      <c r="C251" s="409" t="s"/>
      <c r="D251" s="410" t="s">
        <v>36</v>
      </c>
      <c r="E251" s="410" t="s">
        <v>37</v>
      </c>
      <c r="F251" s="140">
        <v>0.5042</v>
      </c>
      <c r="G251" s="411" t="s">
        <v>38</v>
      </c>
      <c r="H251" s="142" t="s">
        <f>=D248</f>
        <v>57</v>
      </c>
      <c r="I251" s="412">
        <f>=M250</f>
        <v>45927</v>
      </c>
      <c r="J251" s="412">
        <f>=I251+L251</f>
        <v>46017</v>
      </c>
      <c r="K251" s="412">
        <f>=J251</f>
        <v>46017</v>
      </c>
      <c r="L251" s="413">
        <v>90</v>
      </c>
      <c r="M251" s="414" t="s"/>
      <c r="N251" s="415" t="s"/>
      <c r="O251" s="490">
        <f>=IF(M251="",TODAY()-J251,M251-J251)</f>
        <v>125</v>
      </c>
      <c r="P251" s="462" t="s">
        <f>=IF(O251&gt;0,"逾期","正常")</f>
        <v>21</v>
      </c>
      <c r="Q251" s="417" t="s"/>
      <c r="R251" s="418" t="s"/>
    </row>
    <row r="252" spans="1:18">
      <c r="A252" s="373" t="s">
        <v>261</v>
      </c>
      <c r="B252" s="374" t="s">
        <v>32</v>
      </c>
      <c r="C252" s="375" t="s">
        <v>48</v>
      </c>
      <c r="D252" s="464" t="s">
        <v>17</v>
      </c>
      <c r="E252" s="464" t="s">
        <v>18</v>
      </c>
      <c r="F252" s="465">
        <v>45831</v>
      </c>
      <c r="G252" s="495" t="s">
        <v>19</v>
      </c>
      <c r="H252" s="495" t="s">
        <v>63</v>
      </c>
      <c r="I252" s="119">
        <f>=F252</f>
        <v>45831</v>
      </c>
      <c r="J252" s="119">
        <v>45849</v>
      </c>
      <c r="K252" s="119">
        <v>45843</v>
      </c>
      <c r="L252" s="180">
        <f>=J252-I252</f>
        <v>18</v>
      </c>
      <c r="M252" s="496">
        <v>45845</v>
      </c>
      <c r="N252" s="381">
        <f>=M252-I252</f>
        <v>14</v>
      </c>
      <c r="O252" s="487">
        <f>=IF(M252="",TODAY()-J252,M252-J252)</f>
        <v>-4</v>
      </c>
      <c r="P252" s="131" t="s">
        <f>=IF(O252&gt;0,"逾期","正常")</f>
        <v>32</v>
      </c>
      <c r="Q252" s="383" t="s"/>
      <c r="R252" s="384" t="s"/>
    </row>
    <row r="253" spans="1:18">
      <c r="A253" s="385" t="s"/>
      <c r="B253" s="386" t="s"/>
      <c r="C253" s="387" t="s"/>
      <c r="D253" s="420" t="s">
        <v>72</v>
      </c>
      <c r="E253" s="389" t="s">
        <v>23</v>
      </c>
      <c r="F253" s="390">
        <f>=F254-F252</f>
        <v>35</v>
      </c>
      <c r="G253" s="479" t="s">
        <v>24</v>
      </c>
      <c r="H253" s="479" t="s">
        <v>50</v>
      </c>
      <c r="I253" s="134">
        <f>=M252</f>
        <v>45845</v>
      </c>
      <c r="J253" s="134">
        <f>=F254</f>
        <v>45866</v>
      </c>
      <c r="K253" s="134">
        <f>=J253</f>
        <v>45866</v>
      </c>
      <c r="L253" s="492">
        <f>=J253-I253</f>
        <v>21</v>
      </c>
      <c r="M253" s="406">
        <v>45856</v>
      </c>
      <c r="N253" s="423">
        <f>=M253-I253</f>
        <v>11</v>
      </c>
      <c r="O253" s="490">
        <f>=IF(M253="",TODAY()-J253,M253-J253)</f>
        <v>-10</v>
      </c>
      <c r="P253" s="131" t="s">
        <f>=IF(O253&gt;0,"逾期","正常")</f>
        <v>32</v>
      </c>
      <c r="Q253" s="396" t="s"/>
      <c r="R253" s="397" t="s"/>
    </row>
    <row r="254" spans="1:18">
      <c r="A254" s="385" t="s"/>
      <c r="B254" s="386" t="s"/>
      <c r="C254" s="387" t="s"/>
      <c r="D254" s="497" t="s">
        <v>28</v>
      </c>
      <c r="E254" s="389" t="s">
        <v>29</v>
      </c>
      <c r="F254" s="398">
        <v>45866</v>
      </c>
      <c r="G254" s="421" t="s">
        <v>30</v>
      </c>
      <c r="H254" s="421" t="s">
        <v>31</v>
      </c>
      <c r="I254" s="404">
        <f>=M253</f>
        <v>45856</v>
      </c>
      <c r="J254" s="404">
        <f>=I254+L254</f>
        <v>45863</v>
      </c>
      <c r="K254" s="404">
        <f>=J254</f>
        <v>45863</v>
      </c>
      <c r="L254" s="405">
        <v>7</v>
      </c>
      <c r="M254" s="406">
        <v>45858</v>
      </c>
      <c r="N254" s="423">
        <f>=M254-I254</f>
        <v>2</v>
      </c>
      <c r="O254" s="490">
        <f>=IF(M254="",TODAY()-J254,M254-J254)</f>
        <v>-5</v>
      </c>
      <c r="P254" s="131" t="s">
        <f>=IF(O254&gt;0,"逾期","正常")</f>
        <v>32</v>
      </c>
      <c r="Q254" s="396" t="s"/>
      <c r="R254" s="397" t="s"/>
    </row>
    <row r="255" spans="1:18">
      <c r="A255" s="385" t="s"/>
      <c r="B255" s="386" t="s"/>
      <c r="C255" s="387" t="s"/>
      <c r="D255" s="389" t="s">
        <v>33</v>
      </c>
      <c r="E255" s="389" t="s">
        <v>34</v>
      </c>
      <c r="F255" s="136">
        <f>=IF(M253="",TODAY()-F252,M253-F252)</f>
        <v>25</v>
      </c>
      <c r="G255" s="421" t="s">
        <v>35</v>
      </c>
      <c r="H255" s="403" t="s">
        <v>120</v>
      </c>
      <c r="I255" s="404">
        <f>=M254</f>
        <v>45858</v>
      </c>
      <c r="J255" s="404">
        <f>=I255+L255</f>
        <v>45864</v>
      </c>
      <c r="K255" s="404">
        <f>=J255</f>
        <v>45864</v>
      </c>
      <c r="L255" s="405">
        <v>6</v>
      </c>
      <c r="M255" s="406">
        <v>45889</v>
      </c>
      <c r="N255" s="423">
        <f>=M255-I255</f>
        <v>31</v>
      </c>
      <c r="O255" s="490">
        <f>=IF(M255="",TODAY()-J255,M255-J255)</f>
        <v>25</v>
      </c>
      <c r="P255" s="131" t="s">
        <f>=IF(O255&gt;0,"逾期","正常")</f>
        <v>21</v>
      </c>
      <c r="Q255" s="396" t="s">
        <v>262</v>
      </c>
      <c r="R255" s="397" t="s"/>
    </row>
    <row r="256" spans="1:18">
      <c r="A256" s="385" t="s"/>
      <c r="B256" s="408" t="s"/>
      <c r="C256" s="409" t="s"/>
      <c r="D256" s="410" t="s">
        <v>36</v>
      </c>
      <c r="E256" s="410" t="s">
        <v>37</v>
      </c>
      <c r="F256" s="140">
        <v>0.9</v>
      </c>
      <c r="G256" s="411" t="s">
        <v>38</v>
      </c>
      <c r="H256" s="142" t="s">
        <f>=D253</f>
        <v>72</v>
      </c>
      <c r="I256" s="412">
        <f>=M255</f>
        <v>45889</v>
      </c>
      <c r="J256" s="412">
        <f>=I256+L256</f>
        <v>45979</v>
      </c>
      <c r="K256" s="412">
        <f>=J256</f>
        <v>45979</v>
      </c>
      <c r="L256" s="413">
        <v>90</v>
      </c>
      <c r="M256" s="414" t="s"/>
      <c r="N256" s="415" t="s"/>
      <c r="O256" s="490">
        <f>=IF(M256="",TODAY()-J256,M256-J256)</f>
        <v>171</v>
      </c>
      <c r="P256" s="462" t="s">
        <f>=IF(O256&gt;0,"逾期","正常")</f>
        <v>21</v>
      </c>
      <c r="Q256" s="417" t="s"/>
      <c r="R256" s="418" t="s"/>
    </row>
    <row r="257" spans="1:18">
      <c r="A257" s="373" t="s">
        <v>263</v>
      </c>
      <c r="B257" s="374" t="s">
        <v>32</v>
      </c>
      <c r="C257" s="375" t="s">
        <v>264</v>
      </c>
      <c r="D257" s="464" t="s">
        <v>17</v>
      </c>
      <c r="E257" s="464" t="s">
        <v>18</v>
      </c>
      <c r="F257" s="465">
        <v>45832</v>
      </c>
      <c r="G257" s="495" t="s">
        <v>19</v>
      </c>
      <c r="H257" s="495" t="s">
        <v>63</v>
      </c>
      <c r="I257" s="119">
        <f>=F257</f>
        <v>45832</v>
      </c>
      <c r="J257" s="119">
        <v>45867</v>
      </c>
      <c r="K257" s="119">
        <v>45862</v>
      </c>
      <c r="L257" s="180">
        <f>=J257-I257</f>
        <v>35</v>
      </c>
      <c r="M257" s="496">
        <v>45867</v>
      </c>
      <c r="N257" s="183">
        <f>=M257-I257</f>
        <v>35</v>
      </c>
      <c r="O257" s="181">
        <f>=IF(M257="",TODAY()-J257,M257-J257)</f>
        <v>0</v>
      </c>
      <c r="P257" s="131" t="s">
        <f>=IF(O257&gt;0,"逾期","正常")</f>
        <v>32</v>
      </c>
      <c r="Q257" s="383" t="s">
        <v>265</v>
      </c>
      <c r="R257" s="384" t="s"/>
    </row>
    <row r="258" spans="1:18">
      <c r="A258" s="385" t="s"/>
      <c r="B258" s="386" t="s"/>
      <c r="C258" s="387" t="s"/>
      <c r="D258" s="420" t="s">
        <v>65</v>
      </c>
      <c r="E258" s="389" t="s">
        <v>23</v>
      </c>
      <c r="F258" s="390">
        <f>=F259-F257</f>
        <v>65</v>
      </c>
      <c r="G258" s="479" t="s">
        <v>24</v>
      </c>
      <c r="H258" s="479" t="s">
        <v>50</v>
      </c>
      <c r="I258" s="134">
        <f>=M257</f>
        <v>45867</v>
      </c>
      <c r="J258" s="134">
        <f>=F259</f>
        <v>45897</v>
      </c>
      <c r="K258" s="134">
        <f>=J258</f>
        <v>45897</v>
      </c>
      <c r="L258" s="492">
        <f>=J258-I258</f>
        <v>30</v>
      </c>
      <c r="M258" s="406">
        <v>45894</v>
      </c>
      <c r="N258" s="423">
        <f>=M258-I258</f>
        <v>27</v>
      </c>
      <c r="O258" s="490">
        <f>=IF(M258="",TODAY()-J258,M258-J258)</f>
        <v>-3</v>
      </c>
      <c r="P258" s="131" t="s">
        <f>=IF(O258&gt;0,"逾期","正常")</f>
        <v>32</v>
      </c>
      <c r="Q258" s="396" t="s"/>
      <c r="R258" s="397" t="s"/>
    </row>
    <row r="259" spans="1:18">
      <c r="A259" s="385" t="s"/>
      <c r="B259" s="386" t="s"/>
      <c r="C259" s="387" t="s"/>
      <c r="D259" s="497" t="s">
        <v>28</v>
      </c>
      <c r="E259" s="389" t="s">
        <v>29</v>
      </c>
      <c r="F259" s="398">
        <v>45897</v>
      </c>
      <c r="G259" s="421" t="s">
        <v>30</v>
      </c>
      <c r="H259" s="421" t="s">
        <v>31</v>
      </c>
      <c r="I259" s="404">
        <f>=M258</f>
        <v>45894</v>
      </c>
      <c r="J259" s="404">
        <f>=I259+L259</f>
        <v>45901</v>
      </c>
      <c r="K259" s="404">
        <f>=J259</f>
        <v>45901</v>
      </c>
      <c r="L259" s="405">
        <v>7</v>
      </c>
      <c r="M259" s="406">
        <v>45895</v>
      </c>
      <c r="N259" s="423">
        <f>=M259-I259</f>
        <v>1</v>
      </c>
      <c r="O259" s="490">
        <f>=IF(M259="",TODAY()-J259,M259-J259)</f>
        <v>-6</v>
      </c>
      <c r="P259" s="131" t="s">
        <f>=IF(O259&gt;0,"逾期","正常")</f>
        <v>32</v>
      </c>
      <c r="Q259" s="396" t="s"/>
      <c r="R259" s="397" t="s"/>
    </row>
    <row r="260" spans="1:18">
      <c r="A260" s="385" t="s"/>
      <c r="B260" s="386" t="s"/>
      <c r="C260" s="387" t="s"/>
      <c r="D260" s="389" t="s">
        <v>33</v>
      </c>
      <c r="E260" s="389" t="s">
        <v>34</v>
      </c>
      <c r="F260" s="136">
        <f>=IF(M258="",TODAY()-F257,M258-F257)</f>
        <v>62</v>
      </c>
      <c r="G260" s="421" t="s">
        <v>35</v>
      </c>
      <c r="H260" s="403" t="s">
        <v>104</v>
      </c>
      <c r="I260" s="404">
        <f>=M259</f>
        <v>45895</v>
      </c>
      <c r="J260" s="404">
        <f>=I260+L260</f>
        <v>45925</v>
      </c>
      <c r="K260" s="404">
        <f>=J260</f>
        <v>45925</v>
      </c>
      <c r="L260" s="405">
        <v>30</v>
      </c>
      <c r="M260" s="406">
        <v>46041</v>
      </c>
      <c r="N260" s="423">
        <f>=M260-I260</f>
        <v>146</v>
      </c>
      <c r="O260" s="490">
        <f>=IF(M260="",TODAY()-J260,M260-J260)</f>
        <v>116</v>
      </c>
      <c r="P260" s="131" t="s">
        <f>=IF(O260&gt;0,"逾期","正常")</f>
        <v>21</v>
      </c>
      <c r="Q260" s="396" t="s">
        <v>266</v>
      </c>
      <c r="R260" s="397" t="s"/>
    </row>
    <row r="261" spans="1:18">
      <c r="A261" s="385" t="s"/>
      <c r="B261" s="408" t="s"/>
      <c r="C261" s="409" t="s"/>
      <c r="D261" s="410" t="s">
        <v>36</v>
      </c>
      <c r="E261" s="410" t="s">
        <v>37</v>
      </c>
      <c r="F261" s="140">
        <v>0.8</v>
      </c>
      <c r="G261" s="504" t="s">
        <v>38</v>
      </c>
      <c r="H261" s="505" t="s">
        <f>=D258</f>
        <v>65</v>
      </c>
      <c r="I261" s="506">
        <f>=M260</f>
        <v>46041</v>
      </c>
      <c r="J261" s="506">
        <f>=I261+L261</f>
        <v>46131</v>
      </c>
      <c r="K261" s="506">
        <f>=J261</f>
        <v>46131</v>
      </c>
      <c r="L261" s="507">
        <v>90</v>
      </c>
      <c r="M261" s="508" t="s"/>
      <c r="N261" s="415" t="s"/>
      <c r="O261" s="490">
        <f>=IF(M261="",TODAY()-J261,M261-J261)</f>
        <v>11</v>
      </c>
      <c r="P261" s="462" t="s">
        <f>=IF(O261&gt;0,"逾期","正常")</f>
        <v>21</v>
      </c>
      <c r="Q261" s="417" t="s"/>
      <c r="R261" s="418" t="s"/>
    </row>
    <row r="262" spans="1:18">
      <c r="A262" s="373" t="s">
        <v>267</v>
      </c>
      <c r="B262" s="374" t="s">
        <v>32</v>
      </c>
      <c r="C262" s="375" t="s">
        <v>268</v>
      </c>
      <c r="D262" s="464" t="s">
        <v>17</v>
      </c>
      <c r="E262" s="464" t="s">
        <v>18</v>
      </c>
      <c r="F262" s="465">
        <v>45846</v>
      </c>
      <c r="G262" s="495" t="s">
        <v>19</v>
      </c>
      <c r="H262" s="509" t="s">
        <v>20</v>
      </c>
      <c r="I262" s="119">
        <f>=F262</f>
        <v>45846</v>
      </c>
      <c r="J262" s="119">
        <v>45861</v>
      </c>
      <c r="K262" s="119">
        <v>45856</v>
      </c>
      <c r="L262" s="180">
        <f>=J262-I262</f>
        <v>15</v>
      </c>
      <c r="M262" s="496">
        <v>45857</v>
      </c>
      <c r="N262" s="183">
        <f>=M262-I262</f>
        <v>11</v>
      </c>
      <c r="O262" s="487">
        <f>=IF(M262="",TODAY()-J262,M262-J262)</f>
        <v>-4</v>
      </c>
      <c r="P262" s="131" t="s">
        <f>=IF(O262&gt;0,"逾期","正常")</f>
        <v>32</v>
      </c>
      <c r="Q262" s="383" t="s"/>
      <c r="R262" s="384" t="s"/>
    </row>
    <row r="263" spans="1:18">
      <c r="A263" s="385" t="s"/>
      <c r="B263" s="386" t="s"/>
      <c r="C263" s="387" t="s"/>
      <c r="D263" s="420" t="s">
        <v>72</v>
      </c>
      <c r="E263" s="389" t="s">
        <v>23</v>
      </c>
      <c r="F263" s="390">
        <f>=F264-F262</f>
        <v>40</v>
      </c>
      <c r="G263" s="479" t="s">
        <v>24</v>
      </c>
      <c r="H263" s="479" t="s">
        <v>25</v>
      </c>
      <c r="I263" s="134">
        <f>=M262</f>
        <v>45857</v>
      </c>
      <c r="J263" s="134">
        <f>=F264</f>
        <v>45886</v>
      </c>
      <c r="K263" s="134">
        <f>=J263</f>
        <v>45886</v>
      </c>
      <c r="L263" s="492">
        <f>=J263-I263</f>
        <v>29</v>
      </c>
      <c r="M263" s="406">
        <v>45882</v>
      </c>
      <c r="N263" s="467">
        <f>=M263-I263</f>
        <v>25</v>
      </c>
      <c r="O263" s="490">
        <f>=IF(M263="",TODAY()-J263,M263-J263)</f>
        <v>-4</v>
      </c>
      <c r="P263" s="131" t="s">
        <f>=IF(O263&gt;0,"逾期","正常")</f>
        <v>32</v>
      </c>
      <c r="Q263" s="396" t="s"/>
      <c r="R263" s="397" t="s"/>
    </row>
    <row r="264" spans="1:18">
      <c r="A264" s="385" t="s"/>
      <c r="B264" s="386" t="s"/>
      <c r="C264" s="387" t="s"/>
      <c r="D264" s="497" t="s">
        <v>28</v>
      </c>
      <c r="E264" s="389" t="s">
        <v>29</v>
      </c>
      <c r="F264" s="398">
        <v>45886</v>
      </c>
      <c r="G264" s="421" t="s">
        <v>30</v>
      </c>
      <c r="H264" s="421" t="s">
        <v>31</v>
      </c>
      <c r="I264" s="404">
        <f>=M263</f>
        <v>45882</v>
      </c>
      <c r="J264" s="404">
        <f>=I264+L264</f>
        <v>45889</v>
      </c>
      <c r="K264" s="404">
        <f>=J264</f>
        <v>45889</v>
      </c>
      <c r="L264" s="405">
        <v>7</v>
      </c>
      <c r="M264" s="406">
        <v>45887</v>
      </c>
      <c r="N264" s="467">
        <f>=M264-I264</f>
        <v>5</v>
      </c>
      <c r="O264" s="490">
        <f>=IF(M264="",TODAY()-J264,M264-J264)</f>
        <v>-2</v>
      </c>
      <c r="P264" s="131" t="s">
        <f>=IF(O264&gt;0,"逾期","正常")</f>
        <v>32</v>
      </c>
      <c r="Q264" s="396" t="s"/>
      <c r="R264" s="397" t="s"/>
    </row>
    <row r="265" spans="1:18">
      <c r="A265" s="385" t="s"/>
      <c r="B265" s="386" t="s"/>
      <c r="C265" s="387" t="s"/>
      <c r="D265" s="503" t="s">
        <v>33</v>
      </c>
      <c r="E265" s="389" t="s">
        <v>34</v>
      </c>
      <c r="F265" s="136">
        <f>=IF(M263="",TODAY()-F262,M263-F262)</f>
        <v>36</v>
      </c>
      <c r="G265" s="435" t="s">
        <v>35</v>
      </c>
      <c r="H265" s="425" t="s">
        <v>99</v>
      </c>
      <c r="I265" s="426">
        <f>=M264</f>
        <v>45887</v>
      </c>
      <c r="J265" s="426">
        <f>=I265+L265</f>
        <v>45894</v>
      </c>
      <c r="K265" s="426">
        <f>=J265</f>
        <v>45894</v>
      </c>
      <c r="L265" s="427">
        <v>7</v>
      </c>
      <c r="M265" s="428" t="s"/>
      <c r="N265" s="403" t="s"/>
      <c r="O265" s="490">
        <f>=IF(M265="",TODAY()-J265,M265-J265)</f>
        <v>248</v>
      </c>
      <c r="P265" s="131" t="s">
        <f>=IF(O265&gt;0,"逾期","正常")</f>
        <v>21</v>
      </c>
      <c r="Q265" s="396" t="s">
        <v>269</v>
      </c>
      <c r="R265" s="397" t="s"/>
    </row>
    <row r="266" spans="1:18">
      <c r="A266" s="385" t="s"/>
      <c r="B266" s="408" t="s"/>
      <c r="C266" s="409" t="s"/>
      <c r="D266" s="410" t="s">
        <v>36</v>
      </c>
      <c r="E266" s="410" t="s">
        <v>37</v>
      </c>
      <c r="F266" s="140">
        <v>0</v>
      </c>
      <c r="G266" s="442" t="s">
        <v>38</v>
      </c>
      <c r="H266" s="171" t="s">
        <f>=D263</f>
        <v>72</v>
      </c>
      <c r="I266" s="443" t="s"/>
      <c r="J266" s="443" t="s"/>
      <c r="K266" s="443" t="s"/>
      <c r="L266" s="444">
        <v>90</v>
      </c>
      <c r="M266" s="445" t="s"/>
      <c r="N266" s="446" t="s"/>
      <c r="O266" s="490" t="s"/>
      <c r="P266" s="462" t="s">
        <f>=IF(O266&gt;0,"逾期","正常")</f>
        <v>32</v>
      </c>
      <c r="Q266" s="417" t="s"/>
      <c r="R266" s="418" t="s"/>
    </row>
    <row r="267" spans="1:18">
      <c r="A267" s="510" t="s">
        <v>270</v>
      </c>
      <c r="B267" s="374" t="s">
        <v>32</v>
      </c>
      <c r="C267" s="375" t="s">
        <v>271</v>
      </c>
      <c r="D267" s="464" t="s">
        <v>17</v>
      </c>
      <c r="E267" s="464" t="s">
        <v>18</v>
      </c>
      <c r="F267" s="465">
        <v>45854</v>
      </c>
      <c r="G267" s="511" t="s">
        <v>19</v>
      </c>
      <c r="H267" s="511" t="s">
        <v>49</v>
      </c>
      <c r="I267" s="512">
        <f>=F267</f>
        <v>45854</v>
      </c>
      <c r="J267" s="512">
        <v>45879</v>
      </c>
      <c r="K267" s="512">
        <v>45884</v>
      </c>
      <c r="L267" s="513">
        <f>=J267-I267</f>
        <v>25</v>
      </c>
      <c r="M267" s="182">
        <v>45870</v>
      </c>
      <c r="N267" s="514">
        <f>=M267-I267</f>
        <v>16</v>
      </c>
      <c r="O267" s="515">
        <f>=IF(M267="",TODAY()-J267,M267-J267)</f>
        <v>-9</v>
      </c>
      <c r="P267" s="131" t="s">
        <f>=IF(O267&gt;0,"逾期","正常")</f>
        <v>32</v>
      </c>
      <c r="Q267" s="383" t="s">
        <v>272</v>
      </c>
      <c r="R267" s="384" t="s"/>
    </row>
    <row r="268" spans="1:18">
      <c r="A268" s="373" t="s"/>
      <c r="B268" s="516" t="s"/>
      <c r="C268" s="375" t="s"/>
      <c r="D268" s="517" t="s"/>
      <c r="E268" s="518" t="s"/>
      <c r="F268" s="519" t="s"/>
      <c r="G268" s="421" t="s">
        <v>19</v>
      </c>
      <c r="H268" s="421" t="s">
        <v>41</v>
      </c>
      <c r="I268" s="421">
        <f>=F267</f>
        <v>45854</v>
      </c>
      <c r="J268" s="520">
        <v>45879</v>
      </c>
      <c r="K268" s="520">
        <v>45884</v>
      </c>
      <c r="L268" s="421">
        <f>=J268-I268</f>
        <v>25</v>
      </c>
      <c r="M268" s="521">
        <v>45869</v>
      </c>
      <c r="N268" s="522">
        <f>=M268-I268</f>
        <v>15</v>
      </c>
      <c r="O268" s="522">
        <f>=IF(M268="",TODAY()-J268,M268-J268)</f>
        <v>-10</v>
      </c>
      <c r="P268" s="131" t="s">
        <f>=IF(O268&gt;0,"逾期","正常")</f>
        <v>32</v>
      </c>
      <c r="Q268" s="523" t="s">
        <v>273</v>
      </c>
      <c r="R268" s="524" t="s"/>
    </row>
    <row r="269" spans="1:18">
      <c r="A269" s="385" t="s"/>
      <c r="B269" s="386" t="s"/>
      <c r="C269" s="387" t="s"/>
      <c r="D269" s="525" t="s">
        <v>65</v>
      </c>
      <c r="E269" s="526" t="s">
        <v>23</v>
      </c>
      <c r="F269" s="527">
        <f>=F270-F267</f>
        <v>45</v>
      </c>
      <c r="G269" s="479" t="s">
        <v>24</v>
      </c>
      <c r="H269" s="479" t="s">
        <v>50</v>
      </c>
      <c r="I269" s="134">
        <f>=M268</f>
        <v>45869</v>
      </c>
      <c r="J269" s="134">
        <f>=F270</f>
        <v>45899</v>
      </c>
      <c r="K269" s="134">
        <f>=J269</f>
        <v>45899</v>
      </c>
      <c r="L269" s="492">
        <f>=J269-I269</f>
        <v>30</v>
      </c>
      <c r="M269" s="454">
        <v>45902</v>
      </c>
      <c r="N269" s="423">
        <f>=M269-I269</f>
        <v>33</v>
      </c>
      <c r="O269" s="490">
        <f>=IF(M269="",TODAY()-J269,M269-J269)</f>
        <v>3</v>
      </c>
      <c r="P269" s="131" t="s">
        <f>=IF(O269&gt;0,"逾期","正常")</f>
        <v>21</v>
      </c>
      <c r="Q269" s="396" t="s">
        <v>274</v>
      </c>
      <c r="R269" s="397" t="s"/>
    </row>
    <row r="270" spans="1:18">
      <c r="A270" s="385" t="s"/>
      <c r="B270" s="386" t="s"/>
      <c r="C270" s="387" t="s"/>
      <c r="D270" s="528" t="s">
        <v>28</v>
      </c>
      <c r="E270" s="526" t="s">
        <v>29</v>
      </c>
      <c r="F270" s="398">
        <v>45899</v>
      </c>
      <c r="G270" s="392" t="s">
        <v>30</v>
      </c>
      <c r="H270" s="392" t="s">
        <v>31</v>
      </c>
      <c r="I270" s="400">
        <f>=M269</f>
        <v>45902</v>
      </c>
      <c r="J270" s="400">
        <f>=I270+L270</f>
        <v>45909</v>
      </c>
      <c r="K270" s="400">
        <f>=J270</f>
        <v>45909</v>
      </c>
      <c r="L270" s="401">
        <v>7</v>
      </c>
      <c r="M270" s="394">
        <v>45904</v>
      </c>
      <c r="N270" s="423">
        <f>=M270-I270</f>
        <v>2</v>
      </c>
      <c r="O270" s="490">
        <f>=IF(M270="",TODAY()-J270,M270-J270)</f>
        <v>-5</v>
      </c>
      <c r="P270" s="131" t="s">
        <f>=IF(O270&gt;0,"逾期","正常")</f>
        <v>32</v>
      </c>
      <c r="Q270" s="396" t="s"/>
      <c r="R270" s="397" t="s"/>
    </row>
    <row r="271" spans="1:18">
      <c r="A271" s="385" t="s"/>
      <c r="B271" s="529" t="s"/>
      <c r="C271" s="387" t="s"/>
      <c r="D271" s="526" t="s">
        <v>51</v>
      </c>
      <c r="E271" s="526" t="s">
        <v>34</v>
      </c>
      <c r="F271" s="136">
        <f>=IF(M269="",TODAY()-F267,M269-F267)</f>
        <v>48</v>
      </c>
      <c r="G271" s="421" t="s">
        <v>35</v>
      </c>
      <c r="H271" s="403" t="s">
        <v>275</v>
      </c>
      <c r="I271" s="404">
        <f>=M270</f>
        <v>45904</v>
      </c>
      <c r="J271" s="404">
        <f>=I271+L271</f>
        <v>45916</v>
      </c>
      <c r="K271" s="404">
        <f>=J271</f>
        <v>45916</v>
      </c>
      <c r="L271" s="530">
        <v>12</v>
      </c>
      <c r="M271" s="406">
        <v>46006</v>
      </c>
      <c r="N271" s="423">
        <f>=M271-I271</f>
        <v>102</v>
      </c>
      <c r="O271" s="490">
        <f>=IF(M271="",TODAY()-J271,M271-J271)</f>
        <v>90</v>
      </c>
      <c r="P271" s="131" t="s">
        <f>=IF(O271&gt;0,"逾期","正常")</f>
        <v>21</v>
      </c>
      <c r="Q271" s="396" t="s">
        <v>276</v>
      </c>
      <c r="R271" s="397" t="s"/>
    </row>
    <row r="272" spans="1:18">
      <c r="A272" s="385" t="s"/>
      <c r="B272" s="408" t="s"/>
      <c r="C272" s="409" t="s"/>
      <c r="D272" s="531" t="s">
        <v>36</v>
      </c>
      <c r="E272" s="531" t="s">
        <v>37</v>
      </c>
      <c r="F272" s="140">
        <v>0.9</v>
      </c>
      <c r="G272" s="411" t="s">
        <v>38</v>
      </c>
      <c r="H272" s="142" t="s">
        <f>=D269</f>
        <v>65</v>
      </c>
      <c r="I272" s="412">
        <f>=M271</f>
        <v>46006</v>
      </c>
      <c r="J272" s="412">
        <f>=I272+L272</f>
        <v>46096</v>
      </c>
      <c r="K272" s="412">
        <f>=J272</f>
        <v>46096</v>
      </c>
      <c r="L272" s="413">
        <v>90</v>
      </c>
      <c r="M272" s="414" t="s"/>
      <c r="N272" s="415" t="s"/>
      <c r="O272" s="490">
        <f>=IF(M272="",TODAY()-J272,M272-J272)</f>
        <v>46</v>
      </c>
      <c r="P272" s="532" t="s">
        <f>=IF(O272&gt;0,"逾期","正常")</f>
        <v>21</v>
      </c>
      <c r="Q272" s="417" t="s"/>
      <c r="R272" s="418" t="s"/>
    </row>
    <row r="273" spans="1:18">
      <c r="A273" s="373" t="s">
        <v>277</v>
      </c>
      <c r="B273" s="374" t="s">
        <v>32</v>
      </c>
      <c r="C273" s="375" t="s">
        <v>184</v>
      </c>
      <c r="D273" s="464" t="s">
        <v>17</v>
      </c>
      <c r="E273" s="464" t="s">
        <v>18</v>
      </c>
      <c r="F273" s="465">
        <v>45856</v>
      </c>
      <c r="G273" s="495" t="s">
        <v>19</v>
      </c>
      <c r="H273" s="495" t="s">
        <v>20</v>
      </c>
      <c r="I273" s="119">
        <f>=F273</f>
        <v>45856</v>
      </c>
      <c r="J273" s="119">
        <v>45868</v>
      </c>
      <c r="K273" s="119">
        <v>45864</v>
      </c>
      <c r="L273" s="180">
        <f>=J273-I273</f>
        <v>12</v>
      </c>
      <c r="M273" s="496">
        <v>45861</v>
      </c>
      <c r="N273" s="183">
        <f>=M273-I273</f>
        <v>5</v>
      </c>
      <c r="O273" s="181">
        <f>=IF(M273="",TODAY()-J273,M273-J273)</f>
        <v>-7</v>
      </c>
      <c r="P273" s="131" t="s">
        <f>=IF(O273&gt;0,"逾期","正常")</f>
        <v>32</v>
      </c>
      <c r="Q273" s="383" t="s"/>
      <c r="R273" s="384" t="s"/>
    </row>
    <row r="274" spans="1:18">
      <c r="A274" s="385" t="s"/>
      <c r="B274" s="386" t="s"/>
      <c r="C274" s="387" t="s"/>
      <c r="D274" s="420" t="s">
        <v>22</v>
      </c>
      <c r="E274" s="389" t="s">
        <v>23</v>
      </c>
      <c r="F274" s="390">
        <f>=F275-F273</f>
        <v>35</v>
      </c>
      <c r="G274" s="479" t="s">
        <v>24</v>
      </c>
      <c r="H274" s="479" t="s">
        <v>50</v>
      </c>
      <c r="I274" s="134">
        <f>=M273</f>
        <v>45861</v>
      </c>
      <c r="J274" s="134">
        <f>=F275</f>
        <v>45891</v>
      </c>
      <c r="K274" s="134">
        <f>=J274</f>
        <v>45891</v>
      </c>
      <c r="L274" s="492">
        <f>=J274-I274</f>
        <v>30</v>
      </c>
      <c r="M274" s="406">
        <v>45874</v>
      </c>
      <c r="N274" s="533">
        <f>=M274-I274</f>
        <v>13</v>
      </c>
      <c r="O274" s="490">
        <f>=IF(M274="",TODAY()-J274,M274-J274)</f>
        <v>-17</v>
      </c>
      <c r="P274" s="131" t="s">
        <f>=IF(O274&gt;0,"逾期","正常")</f>
        <v>32</v>
      </c>
      <c r="Q274" s="396" t="s"/>
      <c r="R274" s="397" t="s"/>
    </row>
    <row r="275" spans="1:18">
      <c r="A275" s="385" t="s"/>
      <c r="B275" s="386" t="s"/>
      <c r="C275" s="387" t="s"/>
      <c r="D275" s="497" t="s">
        <v>28</v>
      </c>
      <c r="E275" s="389" t="s">
        <v>29</v>
      </c>
      <c r="F275" s="398">
        <v>45891</v>
      </c>
      <c r="G275" s="421" t="s">
        <v>30</v>
      </c>
      <c r="H275" s="421" t="s">
        <v>31</v>
      </c>
      <c r="I275" s="404">
        <f>=M274</f>
        <v>45874</v>
      </c>
      <c r="J275" s="404">
        <f>=I275+L275</f>
        <v>45881</v>
      </c>
      <c r="K275" s="404">
        <f>=J275</f>
        <v>45881</v>
      </c>
      <c r="L275" s="405">
        <v>7</v>
      </c>
      <c r="M275" s="406">
        <v>45876</v>
      </c>
      <c r="N275" s="533">
        <f>=M275-I275</f>
        <v>2</v>
      </c>
      <c r="O275" s="490">
        <f>=IF(M275="",TODAY()-J275,M275-J275)</f>
        <v>-5</v>
      </c>
      <c r="P275" s="131" t="s">
        <f>=IF(O275&gt;0,"逾期","正常")</f>
        <v>32</v>
      </c>
      <c r="Q275" s="396" t="s"/>
      <c r="R275" s="397" t="s"/>
    </row>
    <row r="276" spans="1:18">
      <c r="A276" s="385" t="s"/>
      <c r="B276" s="386" t="s"/>
      <c r="C276" s="387" t="s"/>
      <c r="D276" s="503" t="s">
        <v>33</v>
      </c>
      <c r="E276" s="389" t="s">
        <v>34</v>
      </c>
      <c r="F276" s="136">
        <f>=IF(M274="",TODAY()-F273,M274-F273)</f>
        <v>18</v>
      </c>
      <c r="G276" s="421" t="s">
        <v>35</v>
      </c>
      <c r="H276" s="403" t="s">
        <v>99</v>
      </c>
      <c r="I276" s="404">
        <f>=M275</f>
        <v>45876</v>
      </c>
      <c r="J276" s="404">
        <f>=I276+L276</f>
        <v>45888</v>
      </c>
      <c r="K276" s="404">
        <f>=J276</f>
        <v>45888</v>
      </c>
      <c r="L276" s="405">
        <v>12</v>
      </c>
      <c r="M276" s="406">
        <v>45897</v>
      </c>
      <c r="N276" s="533">
        <f>=M276-I276</f>
        <v>21</v>
      </c>
      <c r="O276" s="490">
        <f>=IF(M276="",TODAY()-J276,M276-J276)</f>
        <v>9</v>
      </c>
      <c r="P276" s="131" t="s">
        <f>=IF(O276&gt;0,"逾期","正常")</f>
        <v>21</v>
      </c>
      <c r="Q276" s="396" t="s">
        <v>278</v>
      </c>
      <c r="R276" s="397" t="s"/>
    </row>
    <row r="277" spans="1:18">
      <c r="A277" s="385" t="s"/>
      <c r="B277" s="408" t="s"/>
      <c r="C277" s="409" t="s"/>
      <c r="D277" s="410" t="s">
        <v>36</v>
      </c>
      <c r="E277" s="410" t="s">
        <v>37</v>
      </c>
      <c r="F277" s="140">
        <v>0.6</v>
      </c>
      <c r="G277" s="411" t="s">
        <v>38</v>
      </c>
      <c r="H277" s="142" t="s">
        <f>=D274</f>
        <v>22</v>
      </c>
      <c r="I277" s="412">
        <f>=M276</f>
        <v>45897</v>
      </c>
      <c r="J277" s="412">
        <f>=I277+L277</f>
        <v>45987</v>
      </c>
      <c r="K277" s="412">
        <f>=J277</f>
        <v>45987</v>
      </c>
      <c r="L277" s="413">
        <v>90</v>
      </c>
      <c r="M277" s="414" t="s"/>
      <c r="N277" s="415" t="s"/>
      <c r="O277" s="490">
        <f>=IF(M277="",TODAY()-J277,M277-J277)</f>
        <v>155</v>
      </c>
      <c r="P277" s="462" t="s">
        <f>=IF(O277&gt;0,"逾期","正常")</f>
        <v>21</v>
      </c>
      <c r="Q277" s="417" t="s"/>
      <c r="R277" s="418" t="s"/>
    </row>
    <row r="278" spans="1:18">
      <c r="A278" s="373" t="s">
        <v>279</v>
      </c>
      <c r="B278" s="374" t="s">
        <v>32</v>
      </c>
      <c r="C278" s="375" t="s">
        <v>89</v>
      </c>
      <c r="D278" s="464" t="s">
        <v>17</v>
      </c>
      <c r="E278" s="464" t="s">
        <v>18</v>
      </c>
      <c r="F278" s="465">
        <v>45866</v>
      </c>
      <c r="G278" s="495" t="s">
        <v>19</v>
      </c>
      <c r="H278" s="495" t="s">
        <v>63</v>
      </c>
      <c r="I278" s="119">
        <f>=F278</f>
        <v>45866</v>
      </c>
      <c r="J278" s="119">
        <v>45891</v>
      </c>
      <c r="K278" s="119">
        <v>45886</v>
      </c>
      <c r="L278" s="180">
        <f>=J278-I278</f>
        <v>25</v>
      </c>
      <c r="M278" s="496">
        <v>45882</v>
      </c>
      <c r="N278" s="183">
        <f>=M278-I278</f>
        <v>16</v>
      </c>
      <c r="O278" s="487">
        <f>=IF(M278="",TODAY()-J278,M278-J278)</f>
        <v>-9</v>
      </c>
      <c r="P278" s="131" t="s">
        <f>=IF(O278&gt;0,"逾期","正常")</f>
        <v>32</v>
      </c>
      <c r="Q278" s="383" t="s"/>
      <c r="R278" s="384" t="s"/>
    </row>
    <row r="279" spans="1:18">
      <c r="A279" s="385" t="s"/>
      <c r="B279" s="386" t="s"/>
      <c r="C279" s="387" t="s"/>
      <c r="D279" s="534" t="s">
        <v>65</v>
      </c>
      <c r="E279" s="389" t="s">
        <v>23</v>
      </c>
      <c r="F279" s="390">
        <f>=F280-F278</f>
        <v>45</v>
      </c>
      <c r="G279" s="479" t="s">
        <v>24</v>
      </c>
      <c r="H279" s="479" t="s">
        <v>50</v>
      </c>
      <c r="I279" s="134">
        <f>=M278</f>
        <v>45882</v>
      </c>
      <c r="J279" s="134">
        <f>=F280</f>
        <v>45911</v>
      </c>
      <c r="K279" s="134">
        <f>=J279</f>
        <v>45911</v>
      </c>
      <c r="L279" s="492">
        <f>=J279-I279</f>
        <v>29</v>
      </c>
      <c r="M279" s="406">
        <v>45958</v>
      </c>
      <c r="N279" s="423">
        <f>=M279-I279</f>
        <v>76</v>
      </c>
      <c r="O279" s="490">
        <f>=IF(M279="",TODAY()-J279,M279-J279)</f>
        <v>47</v>
      </c>
      <c r="P279" s="131" t="s">
        <f>=IF(O279&gt;0,"逾期","正常")</f>
        <v>21</v>
      </c>
      <c r="Q279" s="396" t="s">
        <v>280</v>
      </c>
      <c r="R279" s="397" t="s"/>
    </row>
    <row r="280" spans="1:18">
      <c r="A280" s="385" t="s"/>
      <c r="B280" s="386" t="s"/>
      <c r="C280" s="387" t="s"/>
      <c r="D280" s="497" t="s">
        <v>28</v>
      </c>
      <c r="E280" s="389" t="s">
        <v>29</v>
      </c>
      <c r="F280" s="398">
        <v>45911</v>
      </c>
      <c r="G280" s="421" t="s">
        <v>30</v>
      </c>
      <c r="H280" s="421" t="s">
        <v>31</v>
      </c>
      <c r="I280" s="404">
        <f>=M279</f>
        <v>45958</v>
      </c>
      <c r="J280" s="404">
        <f>=I280+L280</f>
        <v>45965</v>
      </c>
      <c r="K280" s="404">
        <f>=J280</f>
        <v>45965</v>
      </c>
      <c r="L280" s="405">
        <v>7</v>
      </c>
      <c r="M280" s="406">
        <v>46081</v>
      </c>
      <c r="N280" s="423">
        <f>=M280-I280</f>
        <v>123</v>
      </c>
      <c r="O280" s="490">
        <f>=IF(M280="",TODAY()-J280,M280-J280)</f>
        <v>116</v>
      </c>
      <c r="P280" s="131" t="s">
        <f>=IF(O280&gt;0,"逾期","正常")</f>
        <v>21</v>
      </c>
      <c r="Q280" s="396" t="s">
        <v>281</v>
      </c>
      <c r="R280" s="397" t="s"/>
    </row>
    <row r="281" spans="1:18">
      <c r="A281" s="385" t="s"/>
      <c r="B281" s="386" t="s"/>
      <c r="C281" s="387" t="s"/>
      <c r="D281" s="503" t="s">
        <v>33</v>
      </c>
      <c r="E281" s="389" t="s">
        <v>34</v>
      </c>
      <c r="F281" s="136">
        <f>=IF(M279="",TODAY()-F278,M279-F278)</f>
        <v>92</v>
      </c>
      <c r="G281" s="421" t="s">
        <v>35</v>
      </c>
      <c r="H281" s="403" t="s">
        <v>120</v>
      </c>
      <c r="I281" s="404">
        <f>=M280</f>
        <v>46081</v>
      </c>
      <c r="J281" s="404">
        <f>=I281+L281</f>
        <v>46084</v>
      </c>
      <c r="K281" s="404">
        <f>=J281</f>
        <v>46084</v>
      </c>
      <c r="L281" s="405">
        <v>3</v>
      </c>
      <c r="M281" s="406">
        <v>46081</v>
      </c>
      <c r="N281" s="423">
        <f>=M281-I281</f>
        <v>0</v>
      </c>
      <c r="O281" s="490">
        <f>=IF(M281="",TODAY()-J281,M281-J281)</f>
        <v>-3</v>
      </c>
      <c r="P281" s="131" t="s">
        <f>=IF(O281&gt;0,"逾期","正常")</f>
        <v>32</v>
      </c>
      <c r="Q281" s="396" t="s">
        <v>282</v>
      </c>
      <c r="R281" s="397" t="s"/>
    </row>
    <row r="282" spans="1:18">
      <c r="A282" s="385" t="s"/>
      <c r="B282" s="408" t="s"/>
      <c r="C282" s="409" t="s"/>
      <c r="D282" s="410" t="s">
        <v>36</v>
      </c>
      <c r="E282" s="410" t="s">
        <v>37</v>
      </c>
      <c r="F282" s="140">
        <v>0.9</v>
      </c>
      <c r="G282" s="457" t="s">
        <v>38</v>
      </c>
      <c r="H282" s="458" t="s">
        <f>=D279</f>
        <v>65</v>
      </c>
      <c r="I282" s="459">
        <f>=M281</f>
        <v>46081</v>
      </c>
      <c r="J282" s="459">
        <f>=I282+L282</f>
        <v>46171</v>
      </c>
      <c r="K282" s="459">
        <f>=J282</f>
        <v>46171</v>
      </c>
      <c r="L282" s="460">
        <v>90</v>
      </c>
      <c r="M282" s="461" t="s"/>
      <c r="N282" s="415" t="s"/>
      <c r="O282" s="490">
        <f>=IF(M282="",TODAY()-J282,M282-J282)</f>
        <v>-29</v>
      </c>
      <c r="P282" s="462" t="s">
        <f>=IF(O282&gt;0,"逾期","正常")</f>
        <v>32</v>
      </c>
      <c r="Q282" s="417" t="s"/>
      <c r="R282" s="418" t="s"/>
    </row>
    <row r="283" spans="1:18">
      <c r="A283" s="373" t="s">
        <v>283</v>
      </c>
      <c r="B283" s="374" t="s">
        <v>32</v>
      </c>
      <c r="C283" s="375" t="s">
        <v>284</v>
      </c>
      <c r="D283" s="464" t="s">
        <v>17</v>
      </c>
      <c r="E283" s="464" t="s">
        <v>18</v>
      </c>
      <c r="F283" s="465">
        <v>45873</v>
      </c>
      <c r="G283" s="495" t="s">
        <v>19</v>
      </c>
      <c r="H283" s="495" t="s">
        <v>20</v>
      </c>
      <c r="I283" s="119">
        <f>=F283</f>
        <v>45873</v>
      </c>
      <c r="J283" s="119">
        <v>45891</v>
      </c>
      <c r="K283" s="119">
        <v>45888</v>
      </c>
      <c r="L283" s="180">
        <f>=J283-I283</f>
        <v>18</v>
      </c>
      <c r="M283" s="496">
        <v>45888</v>
      </c>
      <c r="N283" s="183">
        <f>=M283-I283</f>
        <v>15</v>
      </c>
      <c r="O283" s="181">
        <f>=IF(M283="",TODAY()-J283,M283-J283)</f>
        <v>-3</v>
      </c>
      <c r="P283" s="131" t="s">
        <f>=IF(O283&gt;0,"逾期","正常")</f>
        <v>32</v>
      </c>
      <c r="Q283" s="383" t="s"/>
      <c r="R283" s="384" t="s"/>
    </row>
    <row r="284" spans="1:18">
      <c r="A284" s="385" t="s"/>
      <c r="B284" s="386" t="s"/>
      <c r="C284" s="387" t="s"/>
      <c r="D284" s="534" t="s">
        <v>180</v>
      </c>
      <c r="E284" s="389" t="s">
        <v>23</v>
      </c>
      <c r="F284" s="390">
        <f>=F285-F283</f>
        <v>35</v>
      </c>
      <c r="G284" s="479" t="s">
        <v>24</v>
      </c>
      <c r="H284" s="479" t="s">
        <v>50</v>
      </c>
      <c r="I284" s="134">
        <f>=M283</f>
        <v>45888</v>
      </c>
      <c r="J284" s="134">
        <f>=F285</f>
        <v>45908</v>
      </c>
      <c r="K284" s="134">
        <f>=J284</f>
        <v>45908</v>
      </c>
      <c r="L284" s="492">
        <f>=J284-I284</f>
        <v>20</v>
      </c>
      <c r="M284" s="406">
        <v>45924</v>
      </c>
      <c r="N284" s="423">
        <f>=M284-I284</f>
        <v>36</v>
      </c>
      <c r="O284" s="490">
        <f>=IF(M284="",TODAY()-J284,M284-J284)</f>
        <v>16</v>
      </c>
      <c r="P284" s="131" t="s">
        <f>=IF(O284&gt;0,"逾期","正常")</f>
        <v>21</v>
      </c>
      <c r="Q284" s="396" t="s">
        <v>280</v>
      </c>
      <c r="R284" s="397" t="s"/>
    </row>
    <row r="285" spans="1:18">
      <c r="A285" s="385" t="s"/>
      <c r="B285" s="386" t="s"/>
      <c r="C285" s="387" t="s"/>
      <c r="D285" s="497" t="s">
        <v>28</v>
      </c>
      <c r="E285" s="389" t="s">
        <v>29</v>
      </c>
      <c r="F285" s="398">
        <v>45908</v>
      </c>
      <c r="G285" s="421" t="s">
        <v>30</v>
      </c>
      <c r="H285" s="421" t="s">
        <v>31</v>
      </c>
      <c r="I285" s="404">
        <f>=M284</f>
        <v>45924</v>
      </c>
      <c r="J285" s="404">
        <f>=I285+L285</f>
        <v>45931</v>
      </c>
      <c r="K285" s="404">
        <f>=J285</f>
        <v>45931</v>
      </c>
      <c r="L285" s="405">
        <v>7</v>
      </c>
      <c r="M285" s="406">
        <v>45940</v>
      </c>
      <c r="N285" s="423">
        <f>=M285-I285</f>
        <v>16</v>
      </c>
      <c r="O285" s="490">
        <f>=IF(M285="",TODAY()-J285,M285-J285)</f>
        <v>9</v>
      </c>
      <c r="P285" s="131" t="s">
        <f>=IF(O285&gt;0,"逾期","正常")</f>
        <v>21</v>
      </c>
      <c r="Q285" s="396" t="s">
        <v>285</v>
      </c>
      <c r="R285" s="397" t="s"/>
    </row>
    <row r="286" spans="1:18">
      <c r="A286" s="385" t="s"/>
      <c r="B286" s="386" t="s"/>
      <c r="C286" s="387" t="s"/>
      <c r="D286" s="535" t="s">
        <v>46</v>
      </c>
      <c r="E286" s="389" t="s">
        <v>34</v>
      </c>
      <c r="F286" s="136">
        <f>=IF(M284="",TODAY()-F283,M284-F283)</f>
        <v>51</v>
      </c>
      <c r="G286" s="421" t="s">
        <v>35</v>
      </c>
      <c r="H286" s="403" t="s">
        <v>104</v>
      </c>
      <c r="I286" s="404">
        <f>=M285</f>
        <v>45940</v>
      </c>
      <c r="J286" s="404">
        <f>=I286+L286</f>
        <v>45948</v>
      </c>
      <c r="K286" s="404">
        <f>=J286</f>
        <v>45948</v>
      </c>
      <c r="L286" s="405">
        <v>8</v>
      </c>
      <c r="M286" s="406">
        <v>46027</v>
      </c>
      <c r="N286" s="423">
        <f>=M286-I286</f>
        <v>87</v>
      </c>
      <c r="O286" s="490">
        <f>=IF(M286="",TODAY()-J286,M286-J286)</f>
        <v>79</v>
      </c>
      <c r="P286" s="131" t="s">
        <f>=IF(O286&gt;0,"逾期","正常")</f>
        <v>21</v>
      </c>
      <c r="Q286" s="536" t="s">
        <v>286</v>
      </c>
      <c r="R286" s="397" t="s"/>
    </row>
    <row r="287" spans="1:18">
      <c r="A287" s="385" t="s"/>
      <c r="B287" s="408" t="s"/>
      <c r="C287" s="409" t="s"/>
      <c r="D287" s="410" t="s">
        <v>36</v>
      </c>
      <c r="E287" s="410" t="s">
        <v>37</v>
      </c>
      <c r="F287" s="140">
        <v>0.9</v>
      </c>
      <c r="G287" s="411" t="s">
        <v>38</v>
      </c>
      <c r="H287" s="142" t="s">
        <f>=D284</f>
        <v>180</v>
      </c>
      <c r="I287" s="412">
        <f>=M286</f>
        <v>46027</v>
      </c>
      <c r="J287" s="412">
        <f>=I287+L287</f>
        <v>46117</v>
      </c>
      <c r="K287" s="412">
        <f>=J287</f>
        <v>46117</v>
      </c>
      <c r="L287" s="413">
        <v>90</v>
      </c>
      <c r="M287" s="414" t="s"/>
      <c r="N287" s="415" t="s"/>
      <c r="O287" s="490">
        <f>=IF(M287="",TODAY()-J287,M287-J287)</f>
        <v>25</v>
      </c>
      <c r="P287" s="462" t="s">
        <f>=IF(O287&gt;0,"逾期","正常")</f>
        <v>21</v>
      </c>
      <c r="Q287" s="417" t="s"/>
      <c r="R287" s="418" t="s"/>
    </row>
    <row r="288" spans="1:18">
      <c r="A288" s="373" t="s">
        <v>287</v>
      </c>
      <c r="B288" s="374" t="s">
        <v>32</v>
      </c>
      <c r="C288" s="375" t="s">
        <v>288</v>
      </c>
      <c r="D288" s="464" t="s">
        <v>17</v>
      </c>
      <c r="E288" s="464" t="s">
        <v>18</v>
      </c>
      <c r="F288" s="465">
        <v>45880</v>
      </c>
      <c r="G288" s="495" t="s">
        <v>19</v>
      </c>
      <c r="H288" s="509" t="s">
        <v>63</v>
      </c>
      <c r="I288" s="119">
        <f>=F288</f>
        <v>45880</v>
      </c>
      <c r="J288" s="119">
        <v>45890</v>
      </c>
      <c r="K288" s="119">
        <v>45888</v>
      </c>
      <c r="L288" s="180">
        <f>=J288-I288</f>
        <v>10</v>
      </c>
      <c r="M288" s="496">
        <v>45888</v>
      </c>
      <c r="N288" s="183">
        <f>=M288-I288</f>
        <v>8</v>
      </c>
      <c r="O288" s="181">
        <f>=IF(M288="",TODAY()-J288,M288-J288)</f>
        <v>-2</v>
      </c>
      <c r="P288" s="131" t="s">
        <f>=IF(O288&gt;0,"逾期","正常")</f>
        <v>32</v>
      </c>
      <c r="Q288" s="383" t="s"/>
      <c r="R288" s="384" t="s"/>
    </row>
    <row r="289" spans="1:18">
      <c r="A289" s="385" t="s"/>
      <c r="B289" s="386" t="s"/>
      <c r="C289" s="387" t="s"/>
      <c r="D289" s="420" t="s">
        <v>289</v>
      </c>
      <c r="E289" s="389" t="s">
        <v>23</v>
      </c>
      <c r="F289" s="390">
        <f>=F290-F288</f>
        <v>25</v>
      </c>
      <c r="G289" s="479" t="s">
        <v>24</v>
      </c>
      <c r="H289" s="479" t="s">
        <v>25</v>
      </c>
      <c r="I289" s="134">
        <f>=M288</f>
        <v>45888</v>
      </c>
      <c r="J289" s="134">
        <f>=F290</f>
        <v>45905</v>
      </c>
      <c r="K289" s="134">
        <f>=J289</f>
        <v>45905</v>
      </c>
      <c r="L289" s="492">
        <f>=J289-I289</f>
        <v>17</v>
      </c>
      <c r="M289" s="406">
        <v>45995</v>
      </c>
      <c r="N289" s="467">
        <f>=M289-I289</f>
        <v>107</v>
      </c>
      <c r="O289" s="490">
        <f>=IF(M289="",TODAY()-J289,M289-J289)</f>
        <v>90</v>
      </c>
      <c r="P289" s="131" t="s">
        <f>=IF(O289&gt;0,"逾期","正常")</f>
        <v>21</v>
      </c>
      <c r="Q289" s="537" t="s">
        <v>290</v>
      </c>
      <c r="R289" s="397" t="s"/>
    </row>
    <row r="290" spans="1:18">
      <c r="A290" s="385" t="s"/>
      <c r="B290" s="386" t="s"/>
      <c r="C290" s="387" t="s"/>
      <c r="D290" s="497" t="s">
        <v>28</v>
      </c>
      <c r="E290" s="389" t="s">
        <v>29</v>
      </c>
      <c r="F290" s="398">
        <v>45905</v>
      </c>
      <c r="G290" s="421" t="s">
        <v>30</v>
      </c>
      <c r="H290" s="421" t="s">
        <v>31</v>
      </c>
      <c r="I290" s="404">
        <f>=M289</f>
        <v>45995</v>
      </c>
      <c r="J290" s="404">
        <f>=I290+L290</f>
        <v>46002</v>
      </c>
      <c r="K290" s="404">
        <f>=J290</f>
        <v>46002</v>
      </c>
      <c r="L290" s="405">
        <v>7</v>
      </c>
      <c r="M290" s="406">
        <v>46048</v>
      </c>
      <c r="N290" s="467">
        <f>=M290-I290</f>
        <v>53</v>
      </c>
      <c r="O290" s="490">
        <f>=IF(M290="",TODAY()-J290,M290-J290)</f>
        <v>46</v>
      </c>
      <c r="P290" s="131" t="s">
        <f>=IF(O290&gt;0,"逾期","正常")</f>
        <v>21</v>
      </c>
      <c r="Q290" s="396" t="s">
        <v>291</v>
      </c>
      <c r="R290" s="397" t="s"/>
    </row>
    <row r="291" spans="1:18">
      <c r="A291" s="385" t="s"/>
      <c r="B291" s="386" t="s"/>
      <c r="C291" s="387" t="s"/>
      <c r="D291" s="503" t="s">
        <v>33</v>
      </c>
      <c r="E291" s="389" t="s">
        <v>34</v>
      </c>
      <c r="F291" s="136">
        <f>=IF(M289="",TODAY()-F288,M289-F288)</f>
        <v>115</v>
      </c>
      <c r="G291" s="421" t="s">
        <v>35</v>
      </c>
      <c r="H291" s="403" t="s">
        <v>67</v>
      </c>
      <c r="I291" s="404">
        <f>=M290</f>
        <v>46048</v>
      </c>
      <c r="J291" s="404">
        <f>=I291+L291</f>
        <v>46059</v>
      </c>
      <c r="K291" s="404">
        <f>=J291</f>
        <v>46059</v>
      </c>
      <c r="L291" s="405">
        <v>11</v>
      </c>
      <c r="M291" s="406">
        <v>46104</v>
      </c>
      <c r="N291" s="467">
        <f>=M291-I291</f>
        <v>56</v>
      </c>
      <c r="O291" s="490">
        <f>=IF(M291="",TODAY()-J291,M291-J291)</f>
        <v>45</v>
      </c>
      <c r="P291" s="131" t="s">
        <f>=IF(O291&gt;0,"逾期","正常")</f>
        <v>21</v>
      </c>
      <c r="Q291" s="396" t="s">
        <v>292</v>
      </c>
      <c r="R291" s="397" t="s"/>
    </row>
    <row r="292" spans="1:18">
      <c r="A292" s="385" t="s"/>
      <c r="B292" s="408" t="s"/>
      <c r="C292" s="409" t="s"/>
      <c r="D292" s="410" t="s">
        <v>36</v>
      </c>
      <c r="E292" s="410" t="s">
        <v>37</v>
      </c>
      <c r="F292" s="140">
        <v>0.8</v>
      </c>
      <c r="G292" s="457" t="s">
        <v>38</v>
      </c>
      <c r="H292" s="458" t="s">
        <f>=D289</f>
        <v>289</v>
      </c>
      <c r="I292" s="459">
        <f>=M291</f>
        <v>46104</v>
      </c>
      <c r="J292" s="459">
        <f>=I292+L292</f>
        <v>46194</v>
      </c>
      <c r="K292" s="459">
        <f>=J292</f>
        <v>46194</v>
      </c>
      <c r="L292" s="460">
        <v>90</v>
      </c>
      <c r="M292" s="461" t="s"/>
      <c r="N292" s="446" t="s"/>
      <c r="O292" s="490">
        <f>=IF(M292="",TODAY()-J292,M292-J292)</f>
        <v>-52</v>
      </c>
      <c r="P292" s="462" t="s">
        <f>=IF(O292&gt;0,"逾期","正常")</f>
        <v>32</v>
      </c>
      <c r="Q292" s="417" t="s"/>
      <c r="R292" s="418" t="s"/>
    </row>
    <row r="293" spans="1:18">
      <c r="A293" s="373" t="s">
        <v>293</v>
      </c>
      <c r="B293" s="374" t="s">
        <v>32</v>
      </c>
      <c r="C293" s="375" t="s">
        <v>294</v>
      </c>
      <c r="D293" s="464" t="s">
        <v>17</v>
      </c>
      <c r="E293" s="464" t="s">
        <v>18</v>
      </c>
      <c r="F293" s="465">
        <v>45887</v>
      </c>
      <c r="G293" s="495" t="s">
        <v>19</v>
      </c>
      <c r="H293" s="509" t="s">
        <v>63</v>
      </c>
      <c r="I293" s="119">
        <f>=F293</f>
        <v>45887</v>
      </c>
      <c r="J293" s="119">
        <v>45916</v>
      </c>
      <c r="K293" s="119">
        <v>45907</v>
      </c>
      <c r="L293" s="180">
        <f>=J293-I293</f>
        <v>29</v>
      </c>
      <c r="M293" s="496">
        <v>45922</v>
      </c>
      <c r="N293" s="467">
        <f>=M293-I293</f>
        <v>35</v>
      </c>
      <c r="O293" s="487">
        <f>=IF(M293="",TODAY()-J293,M293-J293)</f>
        <v>6</v>
      </c>
      <c r="P293" s="131" t="s">
        <f>=IF(O293&gt;0,"逾期","正常")</f>
        <v>21</v>
      </c>
      <c r="Q293" s="383" t="s">
        <v>295</v>
      </c>
      <c r="R293" s="384" t="s"/>
    </row>
    <row r="294" spans="1:18">
      <c r="A294" s="385" t="s"/>
      <c r="B294" s="386" t="s"/>
      <c r="C294" s="387" t="s"/>
      <c r="D294" s="534" t="s">
        <v>65</v>
      </c>
      <c r="E294" s="389" t="s">
        <v>23</v>
      </c>
      <c r="F294" s="390">
        <f>=F295-F293</f>
        <v>64</v>
      </c>
      <c r="G294" s="479" t="s">
        <v>24</v>
      </c>
      <c r="H294" s="479" t="s">
        <v>50</v>
      </c>
      <c r="I294" s="134">
        <f>=M293</f>
        <v>45922</v>
      </c>
      <c r="J294" s="134">
        <f>=F295</f>
        <v>45951</v>
      </c>
      <c r="K294" s="134">
        <f>=J294</f>
        <v>45951</v>
      </c>
      <c r="L294" s="492">
        <f>=J294-I294</f>
        <v>29</v>
      </c>
      <c r="M294" s="406">
        <v>45964</v>
      </c>
      <c r="N294" s="467">
        <f>=M294-I294</f>
        <v>42</v>
      </c>
      <c r="O294" s="490">
        <f>=IF(M294="",TODAY()-J294,M294-J294)</f>
        <v>13</v>
      </c>
      <c r="P294" s="131" t="s">
        <f>=IF(O294&gt;0,"逾期","正常")</f>
        <v>21</v>
      </c>
      <c r="Q294" s="396" t="s">
        <v>296</v>
      </c>
      <c r="R294" s="397" t="s"/>
    </row>
    <row r="295" spans="1:18">
      <c r="A295" s="385" t="s"/>
      <c r="B295" s="386" t="s"/>
      <c r="C295" s="387" t="s"/>
      <c r="D295" s="497" t="s">
        <v>28</v>
      </c>
      <c r="E295" s="389" t="s">
        <v>29</v>
      </c>
      <c r="F295" s="398">
        <v>45951</v>
      </c>
      <c r="G295" s="421" t="s">
        <v>30</v>
      </c>
      <c r="H295" s="421" t="s">
        <v>31</v>
      </c>
      <c r="I295" s="404">
        <f>=M294</f>
        <v>45964</v>
      </c>
      <c r="J295" s="404">
        <f>=I295+L295</f>
        <v>45971</v>
      </c>
      <c r="K295" s="404">
        <f>=J295</f>
        <v>45971</v>
      </c>
      <c r="L295" s="405">
        <v>7</v>
      </c>
      <c r="M295" s="406">
        <v>45968</v>
      </c>
      <c r="N295" s="467">
        <f>=M295-I295</f>
        <v>4</v>
      </c>
      <c r="O295" s="490">
        <f>=IF(M295="",TODAY()-J295,M295-J295)</f>
        <v>-3</v>
      </c>
      <c r="P295" s="131" t="s">
        <f>=IF(O295&gt;0,"逾期","正常")</f>
        <v>32</v>
      </c>
      <c r="Q295" s="396" t="s"/>
      <c r="R295" s="397" t="s"/>
    </row>
    <row r="296" spans="1:18">
      <c r="A296" s="385" t="s"/>
      <c r="B296" s="386" t="s"/>
      <c r="C296" s="387" t="s"/>
      <c r="D296" s="503" t="s">
        <v>51</v>
      </c>
      <c r="E296" s="389" t="s">
        <v>34</v>
      </c>
      <c r="F296" s="136">
        <f>=IF(M294="",TODAY()-F293,M294-F293)</f>
        <v>77</v>
      </c>
      <c r="G296" s="421" t="s">
        <v>35</v>
      </c>
      <c r="H296" s="403" t="s">
        <v>224</v>
      </c>
      <c r="I296" s="404">
        <f>=M295</f>
        <v>45968</v>
      </c>
      <c r="J296" s="404">
        <f>=I296+L296</f>
        <v>45976</v>
      </c>
      <c r="K296" s="404">
        <f>=J296</f>
        <v>45976</v>
      </c>
      <c r="L296" s="405">
        <v>8</v>
      </c>
      <c r="M296" s="406">
        <v>46086</v>
      </c>
      <c r="N296" s="467">
        <f>=M296-I296</f>
        <v>118</v>
      </c>
      <c r="O296" s="490">
        <f>=IF(M296="",TODAY()-J296,M296-J296)</f>
        <v>110</v>
      </c>
      <c r="P296" s="131" t="s">
        <f>=IF(O296&gt;0,"逾期","正常")</f>
        <v>21</v>
      </c>
      <c r="Q296" s="396" t="s">
        <v>297</v>
      </c>
      <c r="R296" s="397" t="s"/>
    </row>
    <row r="297" spans="1:18">
      <c r="A297" s="385" t="s"/>
      <c r="B297" s="408" t="s"/>
      <c r="C297" s="409" t="s"/>
      <c r="D297" s="410" t="s">
        <v>36</v>
      </c>
      <c r="E297" s="410" t="s">
        <v>37</v>
      </c>
      <c r="F297" s="140">
        <v>0.7</v>
      </c>
      <c r="G297" s="457" t="s">
        <v>38</v>
      </c>
      <c r="H297" s="458" t="s">
        <f>=D294</f>
        <v>65</v>
      </c>
      <c r="I297" s="459">
        <f>=M296</f>
        <v>46086</v>
      </c>
      <c r="J297" s="459">
        <f>=I297+L297</f>
        <v>46176</v>
      </c>
      <c r="K297" s="459">
        <f>=J297</f>
        <v>46176</v>
      </c>
      <c r="L297" s="460">
        <v>90</v>
      </c>
      <c r="M297" s="461" t="s"/>
      <c r="N297" s="446" t="s"/>
      <c r="O297" s="490">
        <f>=IF(M297="",TODAY()-J297,M297-J297)</f>
        <v>-34</v>
      </c>
      <c r="P297" s="416" t="s">
        <f>=IF(O297&gt;0,"逾期","正常")</f>
        <v>32</v>
      </c>
      <c r="Q297" s="417" t="s"/>
      <c r="R297" s="418" t="s"/>
    </row>
    <row r="298" spans="1:18">
      <c r="A298" s="373" t="s">
        <v>298</v>
      </c>
      <c r="B298" s="374" t="s">
        <v>32</v>
      </c>
      <c r="C298" s="375" t="s">
        <v>299</v>
      </c>
      <c r="D298" s="464" t="s">
        <v>17</v>
      </c>
      <c r="E298" s="464" t="s">
        <v>18</v>
      </c>
      <c r="F298" s="465">
        <v>45889</v>
      </c>
      <c r="G298" s="495" t="s">
        <v>19</v>
      </c>
      <c r="H298" s="509" t="s">
        <v>41</v>
      </c>
      <c r="I298" s="119">
        <f>=F298</f>
        <v>45889</v>
      </c>
      <c r="J298" s="119">
        <v>45901</v>
      </c>
      <c r="K298" s="119">
        <v>45897</v>
      </c>
      <c r="L298" s="180">
        <f>=J298-I298</f>
        <v>12</v>
      </c>
      <c r="M298" s="496">
        <v>45917</v>
      </c>
      <c r="N298" s="183">
        <f>=M298-I298</f>
        <v>28</v>
      </c>
      <c r="O298" s="181">
        <f>=IF(M298="",TODAY()-J298,M298-J298)</f>
        <v>16</v>
      </c>
      <c r="P298" s="131" t="s">
        <f>=IF(O298&gt;0,"逾期","正常")</f>
        <v>21</v>
      </c>
      <c r="Q298" s="383" t="s">
        <v>300</v>
      </c>
      <c r="R298" s="384" t="s"/>
    </row>
    <row r="299" spans="1:18">
      <c r="A299" s="385" t="s"/>
      <c r="B299" s="386" t="s"/>
      <c r="C299" s="387" t="s"/>
      <c r="D299" s="534" t="s">
        <v>72</v>
      </c>
      <c r="E299" s="389" t="s">
        <v>23</v>
      </c>
      <c r="F299" s="390">
        <f>=F300-F298</f>
        <v>35</v>
      </c>
      <c r="G299" s="479" t="s">
        <v>24</v>
      </c>
      <c r="H299" s="479" t="s">
        <v>50</v>
      </c>
      <c r="I299" s="134">
        <f>=M298</f>
        <v>45917</v>
      </c>
      <c r="J299" s="134">
        <f>=F300</f>
        <v>45924</v>
      </c>
      <c r="K299" s="134">
        <f>=J299</f>
        <v>45924</v>
      </c>
      <c r="L299" s="492">
        <f>=J299-I299</f>
        <v>7</v>
      </c>
      <c r="M299" s="406">
        <v>45950</v>
      </c>
      <c r="N299" s="467">
        <f>=M299-I299</f>
        <v>33</v>
      </c>
      <c r="O299" s="490">
        <f>=IF(M299="",TODAY()-J299,M299-J299)</f>
        <v>26</v>
      </c>
      <c r="P299" s="131" t="s">
        <f>=IF(O299&gt;0,"逾期","正常")</f>
        <v>21</v>
      </c>
      <c r="Q299" s="396" t="s">
        <v>301</v>
      </c>
      <c r="R299" s="397" t="s"/>
    </row>
    <row r="300" spans="1:18">
      <c r="A300" s="385" t="s"/>
      <c r="B300" s="386" t="s"/>
      <c r="C300" s="387" t="s"/>
      <c r="D300" s="497" t="s">
        <v>28</v>
      </c>
      <c r="E300" s="389" t="s">
        <v>29</v>
      </c>
      <c r="F300" s="398">
        <v>45924</v>
      </c>
      <c r="G300" s="421" t="s">
        <v>30</v>
      </c>
      <c r="H300" s="421" t="s">
        <v>31</v>
      </c>
      <c r="I300" s="404">
        <f>=M299</f>
        <v>45950</v>
      </c>
      <c r="J300" s="404">
        <f>=I300+L300</f>
        <v>45957</v>
      </c>
      <c r="K300" s="404">
        <f>=J300</f>
        <v>45957</v>
      </c>
      <c r="L300" s="405">
        <v>7</v>
      </c>
      <c r="M300" s="406">
        <v>45953</v>
      </c>
      <c r="N300" s="467">
        <f>=M300-I300</f>
        <v>3</v>
      </c>
      <c r="O300" s="490">
        <f>=IF(M300="",TODAY()-J300,M300-J300)</f>
        <v>-4</v>
      </c>
      <c r="P300" s="131" t="s">
        <f>=IF(O300&gt;0,"逾期","正常")</f>
        <v>32</v>
      </c>
      <c r="Q300" s="396" t="s"/>
      <c r="R300" s="397" t="s"/>
    </row>
    <row r="301" spans="1:18">
      <c r="A301" s="385" t="s"/>
      <c r="B301" s="386" t="s"/>
      <c r="C301" s="387" t="s"/>
      <c r="D301" s="503" t="s">
        <v>51</v>
      </c>
      <c r="E301" s="389" t="s">
        <v>34</v>
      </c>
      <c r="F301" s="136">
        <f>=IF(M299="",TODAY()-F298,M299-F298)</f>
        <v>61</v>
      </c>
      <c r="G301" s="435" t="s">
        <v>35</v>
      </c>
      <c r="H301" s="425" t="s">
        <v>138</v>
      </c>
      <c r="I301" s="426">
        <f>=M300</f>
        <v>45953</v>
      </c>
      <c r="J301" s="426">
        <f>=I301+L301</f>
        <v>45968</v>
      </c>
      <c r="K301" s="426">
        <f>=J301</f>
        <v>45968</v>
      </c>
      <c r="L301" s="427">
        <v>15</v>
      </c>
      <c r="M301" s="428" t="s"/>
      <c r="N301" s="403" t="s"/>
      <c r="O301" s="490">
        <f>=IF(M301="",TODAY()-J301,M301-J301)</f>
        <v>174</v>
      </c>
      <c r="P301" s="131" t="s">
        <f>=IF(O301&gt;0,"逾期","正常")</f>
        <v>21</v>
      </c>
      <c r="Q301" s="396" t="s">
        <v>302</v>
      </c>
      <c r="R301" s="397" t="s"/>
    </row>
    <row r="302" spans="1:18">
      <c r="A302" s="385" t="s"/>
      <c r="B302" s="408" t="s"/>
      <c r="C302" s="409" t="s"/>
      <c r="D302" s="410" t="s">
        <v>36</v>
      </c>
      <c r="E302" s="410" t="s">
        <v>37</v>
      </c>
      <c r="F302" s="140">
        <v>1</v>
      </c>
      <c r="G302" s="442" t="s">
        <v>38</v>
      </c>
      <c r="H302" s="171" t="s">
        <f>=D299</f>
        <v>72</v>
      </c>
      <c r="I302" s="443" t="s"/>
      <c r="J302" s="443" t="s"/>
      <c r="K302" s="443" t="s"/>
      <c r="L302" s="444">
        <v>90</v>
      </c>
      <c r="M302" s="445" t="s"/>
      <c r="N302" s="446" t="s"/>
      <c r="O302" s="490" t="s"/>
      <c r="P302" s="462" t="s">
        <f>=IF(O302&gt;0,"逾期","正常")</f>
        <v>32</v>
      </c>
      <c r="Q302" s="417" t="s"/>
      <c r="R302" s="418" t="s"/>
    </row>
    <row r="303" spans="1:18">
      <c r="A303" s="373" t="s">
        <v>303</v>
      </c>
      <c r="B303" s="374" t="s">
        <v>32</v>
      </c>
      <c r="C303" s="375" t="s">
        <v>240</v>
      </c>
      <c r="D303" s="464" t="s">
        <v>17</v>
      </c>
      <c r="E303" s="464" t="s">
        <v>18</v>
      </c>
      <c r="F303" s="465">
        <v>45889</v>
      </c>
      <c r="G303" s="495" t="s">
        <v>19</v>
      </c>
      <c r="H303" s="509" t="s">
        <v>49</v>
      </c>
      <c r="I303" s="119">
        <f>=F303</f>
        <v>45889</v>
      </c>
      <c r="J303" s="119">
        <v>45924</v>
      </c>
      <c r="K303" s="119">
        <v>45919</v>
      </c>
      <c r="L303" s="180">
        <f>=J303-I303</f>
        <v>35</v>
      </c>
      <c r="M303" s="496">
        <v>45907</v>
      </c>
      <c r="N303" s="183">
        <f>=M303-I303</f>
        <v>18</v>
      </c>
      <c r="O303" s="181">
        <f>=IF(M303="",TODAY()-J303,M303-J303)</f>
        <v>-17</v>
      </c>
      <c r="P303" s="131" t="s">
        <f>=IF(O303&gt;0,"逾期","正常")</f>
        <v>32</v>
      </c>
      <c r="Q303" s="383" t="s"/>
      <c r="R303" s="384" t="s"/>
    </row>
    <row r="304" spans="1:18">
      <c r="A304" s="385" t="s"/>
      <c r="B304" s="386" t="s"/>
      <c r="C304" s="387" t="s"/>
      <c r="D304" s="534" t="s">
        <v>65</v>
      </c>
      <c r="E304" s="389" t="s">
        <v>23</v>
      </c>
      <c r="F304" s="390">
        <f>=F305-F303</f>
        <v>64</v>
      </c>
      <c r="G304" s="479" t="s">
        <v>24</v>
      </c>
      <c r="H304" s="479" t="s">
        <v>25</v>
      </c>
      <c r="I304" s="134">
        <f>=M303</f>
        <v>45907</v>
      </c>
      <c r="J304" s="134">
        <f>=F305</f>
        <v>45953</v>
      </c>
      <c r="K304" s="134">
        <f>=J304</f>
        <v>45953</v>
      </c>
      <c r="L304" s="492">
        <f>=J304-I304</f>
        <v>46</v>
      </c>
      <c r="M304" s="406">
        <v>45940</v>
      </c>
      <c r="N304" s="467">
        <f>=M304-I304</f>
        <v>33</v>
      </c>
      <c r="O304" s="490">
        <f>=IF(M304="",TODAY()-J304,M304-J304)</f>
        <v>-13</v>
      </c>
      <c r="P304" s="131" t="s">
        <f>=IF(O304&gt;0,"逾期","正常")</f>
        <v>32</v>
      </c>
      <c r="Q304" s="396" t="s"/>
      <c r="R304" s="397" t="s"/>
    </row>
    <row r="305" spans="1:18">
      <c r="A305" s="385" t="s"/>
      <c r="B305" s="386" t="s"/>
      <c r="C305" s="387" t="s"/>
      <c r="D305" s="497" t="s">
        <v>28</v>
      </c>
      <c r="E305" s="389" t="s">
        <v>29</v>
      </c>
      <c r="F305" s="398">
        <v>45953</v>
      </c>
      <c r="G305" s="421" t="s">
        <v>30</v>
      </c>
      <c r="H305" s="421" t="s">
        <v>31</v>
      </c>
      <c r="I305" s="404">
        <f>=M304</f>
        <v>45940</v>
      </c>
      <c r="J305" s="404">
        <f>=I305+L305</f>
        <v>45947</v>
      </c>
      <c r="K305" s="404">
        <f>=J305</f>
        <v>45947</v>
      </c>
      <c r="L305" s="405">
        <v>7</v>
      </c>
      <c r="M305" s="406">
        <v>45943</v>
      </c>
      <c r="N305" s="467">
        <f>=M305-I305</f>
        <v>3</v>
      </c>
      <c r="O305" s="490">
        <f>=IF(M305="",TODAY()-J305,M305-J305)</f>
        <v>-4</v>
      </c>
      <c r="P305" s="131" t="s">
        <f>=IF(O305&gt;0,"逾期","正常")</f>
        <v>32</v>
      </c>
      <c r="Q305" s="396" t="s"/>
      <c r="R305" s="397" t="s"/>
    </row>
    <row r="306" spans="1:18">
      <c r="A306" s="385" t="s"/>
      <c r="B306" s="386" t="s"/>
      <c r="C306" s="387" t="s"/>
      <c r="D306" s="503" t="s">
        <v>51</v>
      </c>
      <c r="E306" s="389" t="s">
        <v>34</v>
      </c>
      <c r="F306" s="136">
        <f>=IF(M304="",TODAY()-F303,M304-F303)</f>
        <v>51</v>
      </c>
      <c r="G306" s="435" t="s">
        <v>35</v>
      </c>
      <c r="H306" s="425" t="s">
        <v>224</v>
      </c>
      <c r="I306" s="426">
        <f>=M305</f>
        <v>45943</v>
      </c>
      <c r="J306" s="426">
        <f>=I306+L306</f>
        <v>45958</v>
      </c>
      <c r="K306" s="426">
        <f>=J306</f>
        <v>45958</v>
      </c>
      <c r="L306" s="427">
        <v>15</v>
      </c>
      <c r="M306" s="428" t="s"/>
      <c r="N306" s="403" t="s"/>
      <c r="O306" s="490">
        <f>=IF(M306="",TODAY()-J306,M306-J306)</f>
        <v>184</v>
      </c>
      <c r="P306" s="131" t="s">
        <f>=IF(O306&gt;0,"逾期","正常")</f>
        <v>21</v>
      </c>
      <c r="Q306" s="396" t="s">
        <v>304</v>
      </c>
      <c r="R306" s="397" t="s"/>
    </row>
    <row r="307" spans="1:18">
      <c r="A307" s="385" t="s"/>
      <c r="B307" s="408" t="s"/>
      <c r="C307" s="409" t="s"/>
      <c r="D307" s="410" t="s">
        <v>36</v>
      </c>
      <c r="E307" s="410" t="s">
        <v>37</v>
      </c>
      <c r="F307" s="140">
        <v>0.9</v>
      </c>
      <c r="G307" s="442" t="s">
        <v>38</v>
      </c>
      <c r="H307" s="171" t="s">
        <f>=D304</f>
        <v>65</v>
      </c>
      <c r="I307" s="443" t="s"/>
      <c r="J307" s="443" t="s"/>
      <c r="K307" s="443" t="s"/>
      <c r="L307" s="444">
        <v>90</v>
      </c>
      <c r="M307" s="445" t="s"/>
      <c r="N307" s="446" t="s"/>
      <c r="O307" s="490" t="s"/>
      <c r="P307" s="416" t="s">
        <f>=IF(O307&gt;0,"逾期","正常")</f>
        <v>32</v>
      </c>
      <c r="Q307" s="417" t="s"/>
      <c r="R307" s="418" t="s"/>
    </row>
    <row r="308" spans="1:18">
      <c r="A308" s="373" t="s">
        <v>305</v>
      </c>
      <c r="B308" s="374" t="s">
        <v>32</v>
      </c>
      <c r="C308" s="375" t="s">
        <v>284</v>
      </c>
      <c r="D308" s="464" t="s">
        <v>17</v>
      </c>
      <c r="E308" s="464" t="s">
        <v>18</v>
      </c>
      <c r="F308" s="465">
        <v>45889</v>
      </c>
      <c r="G308" s="495" t="s">
        <v>19</v>
      </c>
      <c r="H308" s="509" t="s">
        <v>63</v>
      </c>
      <c r="I308" s="119">
        <f>=F308</f>
        <v>45889</v>
      </c>
      <c r="J308" s="119">
        <v>45901</v>
      </c>
      <c r="K308" s="119">
        <v>45897</v>
      </c>
      <c r="L308" s="180">
        <f>=J308-I308</f>
        <v>12</v>
      </c>
      <c r="M308" s="496">
        <v>45897</v>
      </c>
      <c r="N308" s="183">
        <f>=M308-I308</f>
        <v>8</v>
      </c>
      <c r="O308" s="487">
        <f>=IF(M308="",TODAY()-J308,M308-J308)</f>
        <v>-4</v>
      </c>
      <c r="P308" s="131" t="s">
        <f>=IF(O308&gt;0,"逾期","正常")</f>
        <v>32</v>
      </c>
      <c r="Q308" s="383" t="s"/>
      <c r="R308" s="384" t="s"/>
    </row>
    <row r="309" spans="1:18">
      <c r="A309" s="385" t="s"/>
      <c r="B309" s="386" t="s"/>
      <c r="C309" s="387" t="s"/>
      <c r="D309" s="534" t="s">
        <v>65</v>
      </c>
      <c r="E309" s="389" t="s">
        <v>23</v>
      </c>
      <c r="F309" s="390">
        <f>=F310-F308</f>
        <v>35</v>
      </c>
      <c r="G309" s="479" t="s">
        <v>24</v>
      </c>
      <c r="H309" s="479" t="s">
        <v>50</v>
      </c>
      <c r="I309" s="134">
        <f>=M308</f>
        <v>45897</v>
      </c>
      <c r="J309" s="134">
        <f>=F310</f>
        <v>45924</v>
      </c>
      <c r="K309" s="134">
        <f>=J309</f>
        <v>45924</v>
      </c>
      <c r="L309" s="492">
        <f>=J309-I309</f>
        <v>27</v>
      </c>
      <c r="M309" s="406">
        <v>45923</v>
      </c>
      <c r="N309" s="467">
        <f>=M309-I309</f>
        <v>26</v>
      </c>
      <c r="O309" s="490">
        <f>=IF(M309="",TODAY()-J309,M309-J309)</f>
        <v>-1</v>
      </c>
      <c r="P309" s="131" t="s">
        <f>=IF(O309&gt;0,"逾期","正常")</f>
        <v>32</v>
      </c>
      <c r="Q309" s="396" t="s"/>
      <c r="R309" s="397" t="s"/>
    </row>
    <row r="310" spans="1:18">
      <c r="A310" s="385" t="s"/>
      <c r="B310" s="386" t="s"/>
      <c r="C310" s="387" t="s"/>
      <c r="D310" s="497" t="s">
        <v>28</v>
      </c>
      <c r="E310" s="389" t="s">
        <v>29</v>
      </c>
      <c r="F310" s="398">
        <v>45924</v>
      </c>
      <c r="G310" s="421" t="s">
        <v>30</v>
      </c>
      <c r="H310" s="421" t="s">
        <v>31</v>
      </c>
      <c r="I310" s="404">
        <f>=M309</f>
        <v>45923</v>
      </c>
      <c r="J310" s="404">
        <f>=I310+L310</f>
        <v>45930</v>
      </c>
      <c r="K310" s="404">
        <f>=J310</f>
        <v>45930</v>
      </c>
      <c r="L310" s="405">
        <v>7</v>
      </c>
      <c r="M310" s="406">
        <v>45924</v>
      </c>
      <c r="N310" s="467">
        <f>=M310-I310</f>
        <v>1</v>
      </c>
      <c r="O310" s="490">
        <f>=IF(M310="",TODAY()-J310,M310-J310)</f>
        <v>-6</v>
      </c>
      <c r="P310" s="131" t="s">
        <f>=IF(O310&gt;0,"逾期","正常")</f>
        <v>32</v>
      </c>
      <c r="Q310" s="396" t="s"/>
      <c r="R310" s="397" t="s"/>
    </row>
    <row r="311" spans="1:18">
      <c r="A311" s="385" t="s"/>
      <c r="B311" s="386" t="s"/>
      <c r="C311" s="387" t="s"/>
      <c r="D311" s="503" t="s">
        <v>51</v>
      </c>
      <c r="E311" s="389" t="s">
        <v>34</v>
      </c>
      <c r="F311" s="136">
        <f>=IF(M309="",TODAY()-F308,M309-F308)</f>
        <v>34</v>
      </c>
      <c r="G311" s="421" t="s">
        <v>35</v>
      </c>
      <c r="H311" s="403" t="s">
        <v>306</v>
      </c>
      <c r="I311" s="404">
        <f>=M310</f>
        <v>45924</v>
      </c>
      <c r="J311" s="404">
        <f>=I311+L311</f>
        <v>45939</v>
      </c>
      <c r="K311" s="404">
        <f>=J311</f>
        <v>45939</v>
      </c>
      <c r="L311" s="405">
        <v>15</v>
      </c>
      <c r="M311" s="406">
        <v>45976</v>
      </c>
      <c r="N311" s="467">
        <f>=M311-I311</f>
        <v>52</v>
      </c>
      <c r="O311" s="490">
        <f>=IF(M311="",TODAY()-J311,M311-J311)</f>
        <v>37</v>
      </c>
      <c r="P311" s="131" t="s">
        <f>=IF(O311&gt;0,"逾期","正常")</f>
        <v>21</v>
      </c>
      <c r="Q311" s="396" t="s">
        <v>307</v>
      </c>
      <c r="R311" s="397" t="s"/>
    </row>
    <row r="312" spans="1:18">
      <c r="A312" s="385" t="s"/>
      <c r="B312" s="408" t="s"/>
      <c r="C312" s="409" t="s"/>
      <c r="D312" s="410" t="s">
        <v>36</v>
      </c>
      <c r="E312" s="410" t="s">
        <v>37</v>
      </c>
      <c r="F312" s="140">
        <v>0.9</v>
      </c>
      <c r="G312" s="411" t="s">
        <v>38</v>
      </c>
      <c r="H312" s="142" t="s">
        <f>=D309</f>
        <v>65</v>
      </c>
      <c r="I312" s="412">
        <f>=M311</f>
        <v>45976</v>
      </c>
      <c r="J312" s="412">
        <f>=I312+L312</f>
        <v>46066</v>
      </c>
      <c r="K312" s="412">
        <f>=J312</f>
        <v>46066</v>
      </c>
      <c r="L312" s="413">
        <v>90</v>
      </c>
      <c r="M312" s="414" t="s"/>
      <c r="N312" s="446" t="s"/>
      <c r="O312" s="490">
        <f>=IF(M312="",TODAY()-J312,M312-J312)</f>
        <v>76</v>
      </c>
      <c r="P312" s="416" t="s">
        <f>=IF(O312&gt;0,"逾期","正常")</f>
        <v>21</v>
      </c>
      <c r="Q312" s="417" t="s"/>
      <c r="R312" s="418" t="s"/>
    </row>
    <row r="313" spans="1:18">
      <c r="A313" s="373" t="s">
        <v>308</v>
      </c>
      <c r="B313" s="374" t="s">
        <v>32</v>
      </c>
      <c r="C313" s="375" t="s">
        <v>89</v>
      </c>
      <c r="D313" s="464" t="s">
        <v>17</v>
      </c>
      <c r="E313" s="464" t="s">
        <v>18</v>
      </c>
      <c r="F313" s="465">
        <v>45889</v>
      </c>
      <c r="G313" s="495" t="s">
        <v>19</v>
      </c>
      <c r="H313" s="509" t="s">
        <v>309</v>
      </c>
      <c r="I313" s="119">
        <f>=F313</f>
        <v>45889</v>
      </c>
      <c r="J313" s="119">
        <v>45904</v>
      </c>
      <c r="K313" s="119">
        <v>45901</v>
      </c>
      <c r="L313" s="180">
        <f>=J313-I313</f>
        <v>15</v>
      </c>
      <c r="M313" s="496">
        <v>45897</v>
      </c>
      <c r="N313" s="183">
        <f>=M313-I313</f>
        <v>8</v>
      </c>
      <c r="O313" s="181">
        <f>=IF(M313="",TODAY()-J313,M313-J313)</f>
        <v>-7</v>
      </c>
      <c r="P313" s="131" t="s">
        <f>=IF(O313&gt;0,"逾期","正常")</f>
        <v>32</v>
      </c>
      <c r="Q313" s="383" t="s"/>
      <c r="R313" s="384" t="s"/>
    </row>
    <row r="314" spans="1:18">
      <c r="A314" s="385" t="s"/>
      <c r="B314" s="386" t="s"/>
      <c r="C314" s="387" t="s"/>
      <c r="D314" s="534" t="s">
        <v>57</v>
      </c>
      <c r="E314" s="389" t="s">
        <v>23</v>
      </c>
      <c r="F314" s="390">
        <f>=F315-F313</f>
        <v>30</v>
      </c>
      <c r="G314" s="479" t="s">
        <v>24</v>
      </c>
      <c r="H314" s="479" t="s">
        <v>50</v>
      </c>
      <c r="I314" s="134">
        <f>=M313</f>
        <v>45897</v>
      </c>
      <c r="J314" s="134">
        <f>=F315</f>
        <v>45919</v>
      </c>
      <c r="K314" s="134">
        <f>=J314</f>
        <v>45919</v>
      </c>
      <c r="L314" s="492">
        <f>=J314-I314</f>
        <v>22</v>
      </c>
      <c r="M314" s="406">
        <v>45906</v>
      </c>
      <c r="N314" s="467">
        <f>=M314-I314</f>
        <v>9</v>
      </c>
      <c r="O314" s="490">
        <f>=IF(M314="",TODAY()-J314,M314-J314)</f>
        <v>-13</v>
      </c>
      <c r="P314" s="131" t="s">
        <f>=IF(O314&gt;0,"逾期","正常")</f>
        <v>32</v>
      </c>
      <c r="Q314" s="396" t="s"/>
      <c r="R314" s="397" t="s"/>
    </row>
    <row r="315" spans="1:18">
      <c r="A315" s="385" t="s"/>
      <c r="B315" s="386" t="s"/>
      <c r="C315" s="387" t="s"/>
      <c r="D315" s="497" t="s">
        <v>28</v>
      </c>
      <c r="E315" s="389" t="s">
        <v>29</v>
      </c>
      <c r="F315" s="398">
        <v>45919</v>
      </c>
      <c r="G315" s="421" t="s">
        <v>30</v>
      </c>
      <c r="H315" s="421" t="s">
        <v>31</v>
      </c>
      <c r="I315" s="404">
        <f>=M314</f>
        <v>45906</v>
      </c>
      <c r="J315" s="404">
        <f>=I315+L315</f>
        <v>45913</v>
      </c>
      <c r="K315" s="404">
        <f>=J315</f>
        <v>45913</v>
      </c>
      <c r="L315" s="405">
        <v>7</v>
      </c>
      <c r="M315" s="406">
        <v>45913</v>
      </c>
      <c r="N315" s="467">
        <f>=M315-I315</f>
        <v>7</v>
      </c>
      <c r="O315" s="490">
        <f>=IF(M315="",TODAY()-J315,M315-J315)</f>
        <v>0</v>
      </c>
      <c r="P315" s="131" t="s">
        <f>=IF(O315&gt;0,"逾期","正常")</f>
        <v>32</v>
      </c>
      <c r="Q315" s="396" t="s"/>
      <c r="R315" s="397" t="s"/>
    </row>
    <row r="316" spans="1:18">
      <c r="A316" s="385" t="s"/>
      <c r="B316" s="386" t="s"/>
      <c r="C316" s="387" t="s"/>
      <c r="D316" s="503" t="s">
        <v>33</v>
      </c>
      <c r="E316" s="389" t="s">
        <v>34</v>
      </c>
      <c r="F316" s="136">
        <f>=IF(M314="",TODAY()-F313,M314-F313)</f>
        <v>17</v>
      </c>
      <c r="G316" s="421" t="s">
        <v>35</v>
      </c>
      <c r="H316" s="403" t="s">
        <v>52</v>
      </c>
      <c r="I316" s="404">
        <f>=M315</f>
        <v>45913</v>
      </c>
      <c r="J316" s="404">
        <f>=I316+L316</f>
        <v>45920</v>
      </c>
      <c r="K316" s="404">
        <f>=J316</f>
        <v>45920</v>
      </c>
      <c r="L316" s="405">
        <v>7</v>
      </c>
      <c r="M316" s="406">
        <v>46086</v>
      </c>
      <c r="N316" s="467">
        <f>=M316-I316</f>
        <v>173</v>
      </c>
      <c r="O316" s="490">
        <f>=IF(M316="",TODAY()-J316,M316-J316)</f>
        <v>166</v>
      </c>
      <c r="P316" s="131" t="s">
        <f>=IF(O316&gt;0,"逾期","正常")</f>
        <v>21</v>
      </c>
      <c r="Q316" s="396" t="s">
        <v>310</v>
      </c>
      <c r="R316" s="397" t="s"/>
    </row>
    <row r="317" spans="1:18">
      <c r="A317" s="385" t="s"/>
      <c r="B317" s="408" t="s"/>
      <c r="C317" s="409" t="s"/>
      <c r="D317" s="410" t="s">
        <v>36</v>
      </c>
      <c r="E317" s="410" t="s">
        <v>37</v>
      </c>
      <c r="F317" s="140">
        <v>0.9</v>
      </c>
      <c r="G317" s="457" t="s">
        <v>38</v>
      </c>
      <c r="H317" s="458" t="s">
        <f>=D314</f>
        <v>57</v>
      </c>
      <c r="I317" s="459">
        <f>=M316</f>
        <v>46086</v>
      </c>
      <c r="J317" s="459">
        <f>=I317+L317</f>
        <v>46176</v>
      </c>
      <c r="K317" s="459">
        <f>=J317</f>
        <v>46176</v>
      </c>
      <c r="L317" s="460">
        <v>90</v>
      </c>
      <c r="M317" s="461" t="s"/>
      <c r="N317" s="446" t="s"/>
      <c r="O317" s="490">
        <f>=IF(M317="",TODAY()-J317,M317-J317)</f>
        <v>-34</v>
      </c>
      <c r="P317" s="416" t="s">
        <f>=IF(O317&gt;0,"逾期","正常")</f>
        <v>32</v>
      </c>
      <c r="Q317" s="417" t="s"/>
      <c r="R317" s="418" t="s"/>
    </row>
    <row r="318" spans="1:18">
      <c r="A318" s="373" t="s">
        <v>311</v>
      </c>
      <c r="B318" s="374" t="s">
        <v>32</v>
      </c>
      <c r="C318" s="375" t="s">
        <v>312</v>
      </c>
      <c r="D318" s="464" t="s">
        <v>17</v>
      </c>
      <c r="E318" s="464" t="s">
        <v>18</v>
      </c>
      <c r="F318" s="465">
        <v>45890</v>
      </c>
      <c r="G318" s="495" t="s">
        <v>19</v>
      </c>
      <c r="H318" s="509" t="s">
        <v>41</v>
      </c>
      <c r="I318" s="119">
        <f>=F318</f>
        <v>45890</v>
      </c>
      <c r="J318" s="119">
        <v>45902</v>
      </c>
      <c r="K318" s="119">
        <v>45898</v>
      </c>
      <c r="L318" s="180">
        <f>=J318-I318</f>
        <v>12</v>
      </c>
      <c r="M318" s="496">
        <v>45898</v>
      </c>
      <c r="N318" s="183">
        <f>=M318-I318</f>
        <v>8</v>
      </c>
      <c r="O318" s="487">
        <f>=IF(M318="",TODAY()-J318,M318-J318)</f>
        <v>-4</v>
      </c>
      <c r="P318" s="131" t="s">
        <f>=IF(O318&gt;0,"逾期","正常")</f>
        <v>32</v>
      </c>
      <c r="Q318" s="383" t="s"/>
      <c r="R318" s="384" t="s"/>
    </row>
    <row r="319" spans="1:18">
      <c r="A319" s="385" t="s"/>
      <c r="B319" s="386" t="s"/>
      <c r="C319" s="387" t="s"/>
      <c r="D319" s="538" t="s">
        <v>57</v>
      </c>
      <c r="E319" s="539" t="s">
        <v>23</v>
      </c>
      <c r="F319" s="540">
        <f>=F321-F318</f>
        <v>35</v>
      </c>
      <c r="G319" s="479" t="s">
        <v>24</v>
      </c>
      <c r="H319" s="479" t="s">
        <v>50</v>
      </c>
      <c r="I319" s="134">
        <f>=M318</f>
        <v>45898</v>
      </c>
      <c r="J319" s="134">
        <f>=F321</f>
        <v>45925</v>
      </c>
      <c r="K319" s="134">
        <f>=J319</f>
        <v>45925</v>
      </c>
      <c r="L319" s="492">
        <f>=J319-I319</f>
        <v>27</v>
      </c>
      <c r="M319" s="406">
        <v>45917</v>
      </c>
      <c r="N319" s="467">
        <f>=M319-I319</f>
        <v>19</v>
      </c>
      <c r="O319" s="490">
        <f>=IF(M319="",TODAY()-J319,M319-J319)</f>
        <v>-8</v>
      </c>
      <c r="P319" s="131" t="s">
        <f>=IF(O319&gt;0,"逾期","正常")</f>
        <v>32</v>
      </c>
      <c r="Q319" s="396" t="s">
        <v>313</v>
      </c>
      <c r="R319" s="397" t="s"/>
    </row>
    <row r="320" spans="1:18">
      <c r="A320" s="373" t="s"/>
      <c r="B320" s="516" t="s"/>
      <c r="C320" s="375" t="s"/>
      <c r="D320" s="541" t="s"/>
      <c r="E320" s="541" t="s"/>
      <c r="F320" s="541" t="s"/>
      <c r="G320" s="479" t="s">
        <v>24</v>
      </c>
      <c r="H320" s="479" t="s">
        <v>25</v>
      </c>
      <c r="I320" s="134">
        <f>=M318</f>
        <v>45898</v>
      </c>
      <c r="J320" s="134">
        <f>=F321</f>
        <v>45925</v>
      </c>
      <c r="K320" s="134">
        <f>=J320</f>
        <v>45925</v>
      </c>
      <c r="L320" s="492">
        <f>=J320-I320</f>
        <v>27</v>
      </c>
      <c r="M320" s="406">
        <v>45953</v>
      </c>
      <c r="N320" s="467">
        <f>=M320-I320</f>
        <v>55</v>
      </c>
      <c r="O320" s="127">
        <f>=IF(M320="",TODAY()-J320,M320-J320)</f>
        <v>28</v>
      </c>
      <c r="P320" s="131" t="s">
        <f>=IF(O320&gt;0,"逾期","正常")</f>
        <v>21</v>
      </c>
      <c r="Q320" s="542" t="s">
        <v>314</v>
      </c>
      <c r="R320" s="397" t="s"/>
    </row>
    <row r="321" spans="1:18">
      <c r="A321" s="385" t="s"/>
      <c r="B321" s="386" t="s"/>
      <c r="C321" s="387" t="s"/>
      <c r="D321" s="497" t="s">
        <v>28</v>
      </c>
      <c r="E321" s="389" t="s">
        <v>29</v>
      </c>
      <c r="F321" s="398">
        <v>45925</v>
      </c>
      <c r="G321" s="421" t="s">
        <v>30</v>
      </c>
      <c r="H321" s="421" t="s">
        <v>31</v>
      </c>
      <c r="I321" s="404">
        <f>=M319</f>
        <v>45917</v>
      </c>
      <c r="J321" s="404">
        <f>=I321+L321</f>
        <v>45924</v>
      </c>
      <c r="K321" s="404">
        <f>=J321</f>
        <v>45924</v>
      </c>
      <c r="L321" s="405">
        <v>7</v>
      </c>
      <c r="M321" s="406">
        <v>45914</v>
      </c>
      <c r="N321" s="467">
        <f>=M321-I321</f>
        <v>-3</v>
      </c>
      <c r="O321" s="490">
        <f>=IF(M321="",TODAY()-J321,M321-J321)</f>
        <v>-10</v>
      </c>
      <c r="P321" s="131" t="s">
        <f>=IF(O321&gt;0,"逾期","正常")</f>
        <v>32</v>
      </c>
      <c r="Q321" s="396" t="s"/>
      <c r="R321" s="397" t="s"/>
    </row>
    <row r="322" spans="1:18">
      <c r="A322" s="385" t="s"/>
      <c r="B322" s="386" t="s"/>
      <c r="C322" s="387" t="s"/>
      <c r="D322" s="503" t="s">
        <v>33</v>
      </c>
      <c r="E322" s="389" t="s">
        <v>34</v>
      </c>
      <c r="F322" s="136">
        <f>=IF(M319="",TODAY()-F318,M319-F318)</f>
        <v>27</v>
      </c>
      <c r="G322" s="421" t="s">
        <v>35</v>
      </c>
      <c r="H322" s="403" t="s">
        <v>143</v>
      </c>
      <c r="I322" s="404">
        <f>=M321</f>
        <v>45914</v>
      </c>
      <c r="J322" s="404">
        <f>=I322+L322</f>
        <v>45974</v>
      </c>
      <c r="K322" s="404">
        <f>=J322</f>
        <v>45974</v>
      </c>
      <c r="L322" s="405">
        <v>60</v>
      </c>
      <c r="M322" s="406">
        <v>45981</v>
      </c>
      <c r="N322" s="467">
        <f>=M322-I322</f>
        <v>67</v>
      </c>
      <c r="O322" s="490">
        <f>=IF(M322="",TODAY()-J322,M322-J322)</f>
        <v>7</v>
      </c>
      <c r="P322" s="131" t="s">
        <f>=IF(O322&gt;0,"逾期","正常")</f>
        <v>21</v>
      </c>
      <c r="Q322" s="396" t="s">
        <v>315</v>
      </c>
      <c r="R322" s="397" t="s"/>
    </row>
    <row r="323" spans="1:18">
      <c r="A323" s="385" t="s"/>
      <c r="B323" s="408" t="s"/>
      <c r="C323" s="409" t="s"/>
      <c r="D323" s="410" t="s">
        <v>36</v>
      </c>
      <c r="E323" s="410" t="s">
        <v>37</v>
      </c>
      <c r="F323" s="140">
        <v>0.9</v>
      </c>
      <c r="G323" s="411" t="s">
        <v>38</v>
      </c>
      <c r="H323" s="142" t="s">
        <f>=D319</f>
        <v>57</v>
      </c>
      <c r="I323" s="412">
        <f>=M322</f>
        <v>45981</v>
      </c>
      <c r="J323" s="412">
        <f>=I323+L323</f>
        <v>46071</v>
      </c>
      <c r="K323" s="412">
        <f>=J323</f>
        <v>46071</v>
      </c>
      <c r="L323" s="413">
        <v>90</v>
      </c>
      <c r="M323" s="414" t="s"/>
      <c r="N323" s="446" t="s"/>
      <c r="O323" s="490">
        <f>=IF(M323="",TODAY()-J323,M323-J323)</f>
        <v>71</v>
      </c>
      <c r="P323" s="462" t="s">
        <f>=IF(O323&gt;0,"逾期","正常")</f>
        <v>21</v>
      </c>
      <c r="Q323" s="417" t="s">
        <v>316</v>
      </c>
      <c r="R323" s="418" t="s"/>
    </row>
    <row r="324" spans="1:18">
      <c r="A324" s="543" t="s">
        <v>317</v>
      </c>
      <c r="B324" s="544" t="s">
        <v>32</v>
      </c>
      <c r="C324" s="545" t="s">
        <v>318</v>
      </c>
      <c r="D324" s="546" t="s">
        <v>17</v>
      </c>
      <c r="E324" s="546" t="s">
        <v>18</v>
      </c>
      <c r="F324" s="547">
        <v>45901</v>
      </c>
      <c r="G324" s="548" t="s">
        <v>19</v>
      </c>
      <c r="H324" s="509" t="s">
        <v>49</v>
      </c>
      <c r="I324" s="119">
        <f>=F324</f>
        <v>45901</v>
      </c>
      <c r="J324" s="549">
        <v>45921</v>
      </c>
      <c r="K324" s="549">
        <v>45916</v>
      </c>
      <c r="L324" s="180">
        <f>=J324-I324</f>
        <v>20</v>
      </c>
      <c r="M324" s="550">
        <v>45922</v>
      </c>
      <c r="N324" s="423">
        <f>=M324-I324</f>
        <v>21</v>
      </c>
      <c r="O324" s="487">
        <f>=IF(M324="",TODAY()-J324,M324-J324)</f>
        <v>1</v>
      </c>
      <c r="P324" s="131" t="s">
        <f>=IF(O324&gt;0,"逾期","正常")</f>
        <v>21</v>
      </c>
      <c r="Q324" s="383" t="s">
        <v>319</v>
      </c>
      <c r="R324" s="384" t="s"/>
    </row>
    <row r="325" spans="1:18">
      <c r="A325" s="551" t="s"/>
      <c r="B325" s="552" t="s"/>
      <c r="C325" s="553" t="s"/>
      <c r="D325" s="554" t="s">
        <v>57</v>
      </c>
      <c r="E325" s="555" t="s">
        <v>23</v>
      </c>
      <c r="F325" s="390">
        <f>=F326-F324</f>
        <v>45</v>
      </c>
      <c r="G325" s="403" t="s">
        <v>24</v>
      </c>
      <c r="H325" s="403" t="s">
        <v>50</v>
      </c>
      <c r="I325" s="404">
        <f>=M324</f>
        <v>45922</v>
      </c>
      <c r="J325" s="404">
        <f>=F326</f>
        <v>45946</v>
      </c>
      <c r="K325" s="404">
        <f>=J325</f>
        <v>45946</v>
      </c>
      <c r="L325" s="422">
        <f>=J325-I325</f>
        <v>24</v>
      </c>
      <c r="M325" s="406">
        <v>45956</v>
      </c>
      <c r="N325" s="423">
        <f>=M325-I325</f>
        <v>34</v>
      </c>
      <c r="O325" s="490">
        <f>=IF(M325="",TODAY()-J325,M325-J325)</f>
        <v>10</v>
      </c>
      <c r="P325" s="131" t="s">
        <f>=IF(O325&gt;0,"逾期","正常")</f>
        <v>21</v>
      </c>
      <c r="Q325" s="396" t="s">
        <v>320</v>
      </c>
      <c r="R325" s="397" t="s"/>
    </row>
    <row r="326" spans="1:18">
      <c r="A326" s="551" t="s"/>
      <c r="B326" s="552" t="s"/>
      <c r="C326" s="553" t="s"/>
      <c r="D326" s="555" t="s">
        <v>28</v>
      </c>
      <c r="E326" s="555" t="s">
        <v>29</v>
      </c>
      <c r="F326" s="404">
        <v>45946</v>
      </c>
      <c r="G326" s="467" t="s">
        <v>30</v>
      </c>
      <c r="H326" s="467" t="s">
        <v>31</v>
      </c>
      <c r="I326" s="400">
        <f>=M325</f>
        <v>45956</v>
      </c>
      <c r="J326" s="400">
        <f>=I326+L326</f>
        <v>45963</v>
      </c>
      <c r="K326" s="400">
        <f>=J326</f>
        <v>45963</v>
      </c>
      <c r="L326" s="405">
        <v>7</v>
      </c>
      <c r="M326" s="394">
        <v>45957</v>
      </c>
      <c r="N326" s="423">
        <f>=M326-I326</f>
        <v>1</v>
      </c>
      <c r="O326" s="490">
        <f>=IF(M326="",TODAY()-J326,M326-J326)</f>
        <v>-6</v>
      </c>
      <c r="P326" s="131" t="s">
        <f>=IF(O326&gt;0,"逾期","正常")</f>
        <v>32</v>
      </c>
      <c r="Q326" s="396" t="s"/>
      <c r="R326" s="397" t="s"/>
    </row>
    <row r="327" spans="1:18">
      <c r="A327" s="551" t="s"/>
      <c r="B327" s="552" t="s"/>
      <c r="C327" s="553" t="s"/>
      <c r="D327" s="555" t="s">
        <v>33</v>
      </c>
      <c r="E327" s="555" t="s">
        <v>34</v>
      </c>
      <c r="F327" s="136">
        <f>=IF(M325="",TODAY()-F324,M325-F324)</f>
        <v>55</v>
      </c>
      <c r="G327" s="403" t="s">
        <v>35</v>
      </c>
      <c r="H327" s="403" t="s">
        <v>58</v>
      </c>
      <c r="I327" s="404">
        <f>=M326</f>
        <v>45957</v>
      </c>
      <c r="J327" s="404">
        <f>=I327+L327</f>
        <v>45972</v>
      </c>
      <c r="K327" s="404">
        <f>=J327</f>
        <v>45972</v>
      </c>
      <c r="L327" s="405">
        <v>15</v>
      </c>
      <c r="M327" s="406">
        <v>45988</v>
      </c>
      <c r="N327" s="423">
        <f>=M327-I327</f>
        <v>31</v>
      </c>
      <c r="O327" s="490">
        <f>=IF(M327="",TODAY()-J327,M327-J327)</f>
        <v>16</v>
      </c>
      <c r="P327" s="131" t="s">
        <f>=IF(O327&gt;0,"逾期","正常")</f>
        <v>21</v>
      </c>
      <c r="Q327" s="396" t="s">
        <v>321</v>
      </c>
      <c r="R327" s="397" t="s"/>
    </row>
    <row r="328" spans="1:18">
      <c r="A328" s="551" t="s"/>
      <c r="B328" s="552" t="s"/>
      <c r="C328" s="553" t="s"/>
      <c r="D328" s="556" t="s">
        <v>36</v>
      </c>
      <c r="E328" s="556" t="s">
        <v>37</v>
      </c>
      <c r="F328" s="557">
        <v>0.5</v>
      </c>
      <c r="G328" s="558" t="s">
        <v>38</v>
      </c>
      <c r="H328" s="142" t="s">
        <f>=D325</f>
        <v>57</v>
      </c>
      <c r="I328" s="412">
        <f>=M327</f>
        <v>45988</v>
      </c>
      <c r="J328" s="412">
        <f>=I328+L328</f>
        <v>46078</v>
      </c>
      <c r="K328" s="412">
        <f>=J328</f>
        <v>46078</v>
      </c>
      <c r="L328" s="413">
        <v>90</v>
      </c>
      <c r="M328" s="414" t="s"/>
      <c r="N328" s="415" t="s"/>
      <c r="O328" s="490">
        <f>=IF(M328="",TODAY()-J328,M328-J328)</f>
        <v>64</v>
      </c>
      <c r="P328" s="416" t="s">
        <f>=IF(O328&gt;0,"逾期","正常")</f>
        <v>21</v>
      </c>
      <c r="Q328" s="417" t="s"/>
      <c r="R328" s="418" t="s"/>
    </row>
    <row r="329" spans="1:18">
      <c r="A329" s="543" t="s">
        <v>322</v>
      </c>
      <c r="B329" s="544" t="s">
        <v>32</v>
      </c>
      <c r="C329" s="545" t="s">
        <v>323</v>
      </c>
      <c r="D329" s="546" t="s">
        <v>17</v>
      </c>
      <c r="E329" s="546" t="s">
        <v>18</v>
      </c>
      <c r="F329" s="547">
        <v>45904</v>
      </c>
      <c r="G329" s="548" t="s">
        <v>19</v>
      </c>
      <c r="H329" s="548" t="s">
        <v>63</v>
      </c>
      <c r="I329" s="119">
        <f>=F329</f>
        <v>45904</v>
      </c>
      <c r="J329" s="549">
        <v>45914</v>
      </c>
      <c r="K329" s="549">
        <v>45912</v>
      </c>
      <c r="L329" s="180">
        <f>=J329-I329</f>
        <v>10</v>
      </c>
      <c r="M329" s="550">
        <v>45911</v>
      </c>
      <c r="N329" s="183">
        <f>=M329-I329</f>
        <v>7</v>
      </c>
      <c r="O329" s="181">
        <f>=IF(M329="",TODAY()-J329,M329-J329)</f>
        <v>-3</v>
      </c>
      <c r="P329" s="131" t="s">
        <f>=IF(O329&gt;0,"逾期","正常")</f>
        <v>32</v>
      </c>
      <c r="Q329" s="383" t="s"/>
      <c r="R329" s="384" t="s"/>
    </row>
    <row r="330" spans="1:18">
      <c r="A330" s="551" t="s"/>
      <c r="B330" s="552" t="s"/>
      <c r="C330" s="553" t="s"/>
      <c r="D330" s="554" t="s">
        <v>65</v>
      </c>
      <c r="E330" s="555" t="s">
        <v>23</v>
      </c>
      <c r="F330" s="390">
        <f>=F331-F329</f>
        <v>35</v>
      </c>
      <c r="G330" s="479" t="s">
        <v>24</v>
      </c>
      <c r="H330" s="479" t="s">
        <v>50</v>
      </c>
      <c r="I330" s="134">
        <f>=M329</f>
        <v>45911</v>
      </c>
      <c r="J330" s="134">
        <f>=F331</f>
        <v>45939</v>
      </c>
      <c r="K330" s="134">
        <f>=J330</f>
        <v>45939</v>
      </c>
      <c r="L330" s="492">
        <f>=J330-I330</f>
        <v>28</v>
      </c>
      <c r="M330" s="406">
        <v>45972</v>
      </c>
      <c r="N330" s="423">
        <f>=M330-I330</f>
        <v>61</v>
      </c>
      <c r="O330" s="490">
        <f>=IF(M330="",TODAY()-J330,M330-J330)</f>
        <v>33</v>
      </c>
      <c r="P330" s="131" t="s">
        <f>=IF(O330&gt;0,"逾期","正常")</f>
        <v>21</v>
      </c>
      <c r="Q330" s="396" t="s">
        <v>324</v>
      </c>
      <c r="R330" s="397" t="s"/>
    </row>
    <row r="331" spans="1:18">
      <c r="A331" s="551" t="s"/>
      <c r="B331" s="552" t="s"/>
      <c r="C331" s="553" t="s"/>
      <c r="D331" s="555" t="s">
        <v>28</v>
      </c>
      <c r="E331" s="555" t="s">
        <v>29</v>
      </c>
      <c r="F331" s="404">
        <v>45939</v>
      </c>
      <c r="G331" s="403" t="s">
        <v>30</v>
      </c>
      <c r="H331" s="403" t="s">
        <v>31</v>
      </c>
      <c r="I331" s="404">
        <f>=M330</f>
        <v>45972</v>
      </c>
      <c r="J331" s="404">
        <f>=I331+L331</f>
        <v>45979</v>
      </c>
      <c r="K331" s="404">
        <f>=J331</f>
        <v>45979</v>
      </c>
      <c r="L331" s="405">
        <v>7</v>
      </c>
      <c r="M331" s="406">
        <v>45992</v>
      </c>
      <c r="N331" s="403">
        <f>=M331-I331</f>
        <v>20</v>
      </c>
      <c r="O331" s="490">
        <f>=IF(M331="",TODAY()-J331,M331-J331)</f>
        <v>13</v>
      </c>
      <c r="P331" s="131" t="s">
        <f>=IF(O331&gt;0,"逾期","正常")</f>
        <v>21</v>
      </c>
      <c r="Q331" s="396" t="s">
        <v>325</v>
      </c>
      <c r="R331" s="397" t="s"/>
    </row>
    <row r="332" spans="1:18">
      <c r="A332" s="551" t="s"/>
      <c r="B332" s="552" t="s"/>
      <c r="C332" s="553" t="s"/>
      <c r="D332" s="559" t="s">
        <v>51</v>
      </c>
      <c r="E332" s="555" t="s">
        <v>34</v>
      </c>
      <c r="F332" s="136">
        <f>=IF(M330="",TODAY()-F329,M330-F329)</f>
        <v>68</v>
      </c>
      <c r="G332" s="403" t="s">
        <v>35</v>
      </c>
      <c r="H332" s="403" t="s">
        <v>73</v>
      </c>
      <c r="I332" s="404">
        <f>=M331</f>
        <v>45992</v>
      </c>
      <c r="J332" s="404">
        <f>=I332+L332</f>
        <v>46142</v>
      </c>
      <c r="K332" s="404">
        <f>=J332</f>
        <v>46142</v>
      </c>
      <c r="L332" s="405">
        <v>150</v>
      </c>
      <c r="M332" s="406">
        <v>46121</v>
      </c>
      <c r="N332" s="403">
        <f>=M332-I332</f>
        <v>129</v>
      </c>
      <c r="O332" s="490">
        <f>=IF(M332="",TODAY()-J332,M332-J332)</f>
        <v>-21</v>
      </c>
      <c r="P332" s="131" t="s">
        <f>=IF(O332&gt;0,"逾期","正常")</f>
        <v>32</v>
      </c>
      <c r="Q332" s="396" t="s">
        <v>326</v>
      </c>
      <c r="R332" s="397" t="s"/>
    </row>
    <row r="333" spans="1:18">
      <c r="A333" s="551" t="s"/>
      <c r="B333" s="552" t="s"/>
      <c r="C333" s="553" t="s"/>
      <c r="D333" s="556" t="s">
        <v>36</v>
      </c>
      <c r="E333" s="556" t="s">
        <v>37</v>
      </c>
      <c r="F333" s="557">
        <v>0.9</v>
      </c>
      <c r="G333" s="560" t="s">
        <v>38</v>
      </c>
      <c r="H333" s="458" t="s">
        <f>=D330</f>
        <v>65</v>
      </c>
      <c r="I333" s="459">
        <f>=M332</f>
        <v>46121</v>
      </c>
      <c r="J333" s="459">
        <f>=I333+L333</f>
        <v>46211</v>
      </c>
      <c r="K333" s="459">
        <f>=J333</f>
        <v>46211</v>
      </c>
      <c r="L333" s="460">
        <v>90</v>
      </c>
      <c r="M333" s="461" t="s"/>
      <c r="N333" s="415" t="s"/>
      <c r="O333" s="490">
        <f>=IF(M333="",TODAY()-J333,M333-J333)</f>
        <v>-69</v>
      </c>
      <c r="P333" s="416" t="s">
        <f>=IF(O333&gt;0,"逾期","正常")</f>
        <v>32</v>
      </c>
      <c r="Q333" s="417" t="s"/>
      <c r="R333" s="418" t="s"/>
    </row>
    <row r="334" spans="1:18">
      <c r="A334" s="373" t="s">
        <v>327</v>
      </c>
      <c r="B334" s="374" t="s">
        <v>32</v>
      </c>
      <c r="C334" s="375" t="s">
        <v>156</v>
      </c>
      <c r="D334" s="464" t="s">
        <v>17</v>
      </c>
      <c r="E334" s="464" t="s">
        <v>18</v>
      </c>
      <c r="F334" s="465">
        <v>45909</v>
      </c>
      <c r="G334" s="495" t="s">
        <v>19</v>
      </c>
      <c r="H334" s="509" t="s">
        <v>309</v>
      </c>
      <c r="I334" s="119">
        <f>=F334</f>
        <v>45909</v>
      </c>
      <c r="J334" s="119">
        <v>45927</v>
      </c>
      <c r="K334" s="119">
        <v>45924</v>
      </c>
      <c r="L334" s="180">
        <f>=J334-I334</f>
        <v>18</v>
      </c>
      <c r="M334" s="119">
        <v>45924</v>
      </c>
      <c r="N334" s="183">
        <f>=M334-I334</f>
        <v>15</v>
      </c>
      <c r="O334" s="487">
        <f>=IF(M334="",TODAY()-J334,M334-J334)</f>
        <v>-3</v>
      </c>
      <c r="P334" s="131" t="s">
        <f>=IF(O334&gt;0,"逾期","正常")</f>
        <v>32</v>
      </c>
      <c r="Q334" s="383" t="s"/>
      <c r="R334" s="384" t="s"/>
    </row>
    <row r="335" spans="1:18">
      <c r="A335" s="385" t="s"/>
      <c r="B335" s="386" t="s"/>
      <c r="C335" s="387" t="s"/>
      <c r="D335" s="534" t="s">
        <v>328</v>
      </c>
      <c r="E335" s="389" t="s">
        <v>23</v>
      </c>
      <c r="F335" s="390">
        <f>=F336-F334</f>
        <v>40</v>
      </c>
      <c r="G335" s="479" t="s">
        <v>24</v>
      </c>
      <c r="H335" s="479" t="s">
        <v>50</v>
      </c>
      <c r="I335" s="134">
        <f>=M334</f>
        <v>45924</v>
      </c>
      <c r="J335" s="134">
        <f>=F336</f>
        <v>45949</v>
      </c>
      <c r="K335" s="134">
        <f>=J335</f>
        <v>45949</v>
      </c>
      <c r="L335" s="492">
        <f>=J335-I335</f>
        <v>25</v>
      </c>
      <c r="M335" s="406">
        <v>46092</v>
      </c>
      <c r="N335" s="467">
        <f>=M335-I335</f>
        <v>168</v>
      </c>
      <c r="O335" s="490">
        <f>=IF(M335="",TODAY()-J335,M335-J335)</f>
        <v>143</v>
      </c>
      <c r="P335" s="131" t="s">
        <f>=IF(O335&gt;0,"逾期","正常")</f>
        <v>21</v>
      </c>
      <c r="Q335" s="396" t="s">
        <v>329</v>
      </c>
      <c r="R335" s="397" t="s"/>
    </row>
    <row r="336" spans="1:18">
      <c r="A336" s="385" t="s"/>
      <c r="B336" s="386" t="s"/>
      <c r="C336" s="387" t="s"/>
      <c r="D336" s="497" t="s">
        <v>28</v>
      </c>
      <c r="E336" s="389" t="s">
        <v>29</v>
      </c>
      <c r="F336" s="398">
        <v>45949</v>
      </c>
      <c r="G336" s="421" t="s">
        <v>30</v>
      </c>
      <c r="H336" s="421" t="s">
        <v>31</v>
      </c>
      <c r="I336" s="404">
        <f>=M335</f>
        <v>46092</v>
      </c>
      <c r="J336" s="404">
        <f>=I336+L336</f>
        <v>46099</v>
      </c>
      <c r="K336" s="404">
        <f>=J336</f>
        <v>46099</v>
      </c>
      <c r="L336" s="405">
        <v>7</v>
      </c>
      <c r="M336" s="406">
        <v>46094</v>
      </c>
      <c r="N336" s="467">
        <f>=M336-I336</f>
        <v>2</v>
      </c>
      <c r="O336" s="490">
        <f>=IF(M336="",TODAY()-J336,M336-J336)</f>
        <v>-5</v>
      </c>
      <c r="P336" s="131" t="s">
        <f>=IF(O336&gt;0,"逾期","正常")</f>
        <v>32</v>
      </c>
      <c r="Q336" s="396" t="s"/>
      <c r="R336" s="397" t="s"/>
    </row>
    <row r="337" spans="1:18">
      <c r="A337" s="385" t="s"/>
      <c r="B337" s="386" t="s"/>
      <c r="C337" s="387" t="s"/>
      <c r="D337" s="559" t="s">
        <v>51</v>
      </c>
      <c r="E337" s="389" t="s">
        <v>34</v>
      </c>
      <c r="F337" s="136">
        <f>=IF(M335="",TODAY()-F334,M335-F334)</f>
        <v>183</v>
      </c>
      <c r="G337" s="421" t="s">
        <v>35</v>
      </c>
      <c r="H337" s="403" t="s">
        <v>110</v>
      </c>
      <c r="I337" s="404">
        <f>=M336</f>
        <v>46094</v>
      </c>
      <c r="J337" s="404">
        <f>=I337+L337</f>
        <v>46118</v>
      </c>
      <c r="K337" s="404">
        <f>=J337</f>
        <v>46118</v>
      </c>
      <c r="L337" s="405">
        <v>24</v>
      </c>
      <c r="M337" s="406">
        <v>46113</v>
      </c>
      <c r="N337" s="467">
        <f>=M337-I337</f>
        <v>19</v>
      </c>
      <c r="O337" s="490">
        <f>=IF(M337="",TODAY()-J337,M337-J337)</f>
        <v>-5</v>
      </c>
      <c r="P337" s="131" t="s">
        <f>=IF(O337&gt;0,"逾期","正常")</f>
        <v>32</v>
      </c>
      <c r="Q337" s="396" t="s">
        <v>330</v>
      </c>
      <c r="R337" s="397" t="s"/>
    </row>
    <row r="338" spans="1:18">
      <c r="A338" s="385" t="s"/>
      <c r="B338" s="408" t="s"/>
      <c r="C338" s="409" t="s"/>
      <c r="D338" s="410" t="s">
        <v>36</v>
      </c>
      <c r="E338" s="410" t="s">
        <v>37</v>
      </c>
      <c r="F338" s="557">
        <v>0.9</v>
      </c>
      <c r="G338" s="457" t="s">
        <v>38</v>
      </c>
      <c r="H338" s="458" t="s">
        <f>=D335</f>
        <v>328</v>
      </c>
      <c r="I338" s="459">
        <f>=M337</f>
        <v>46113</v>
      </c>
      <c r="J338" s="459">
        <f>=I338+L338</f>
        <v>46203</v>
      </c>
      <c r="K338" s="459">
        <f>=J338</f>
        <v>46203</v>
      </c>
      <c r="L338" s="460">
        <v>90</v>
      </c>
      <c r="M338" s="461" t="s"/>
      <c r="N338" s="446" t="s"/>
      <c r="O338" s="490">
        <f>=IF(M338="",TODAY()-J338,M338-J338)</f>
        <v>-61</v>
      </c>
      <c r="P338" s="416" t="s">
        <f>=IF(O338&gt;0,"逾期","正常")</f>
        <v>32</v>
      </c>
      <c r="Q338" s="417" t="s">
        <v>164</v>
      </c>
      <c r="R338" s="418" t="s"/>
    </row>
    <row r="339" spans="1:18">
      <c r="A339" s="543" t="s">
        <v>331</v>
      </c>
      <c r="B339" s="544" t="s">
        <v>32</v>
      </c>
      <c r="C339" s="545" t="s">
        <v>332</v>
      </c>
      <c r="D339" s="546" t="s">
        <v>17</v>
      </c>
      <c r="E339" s="546" t="s">
        <v>18</v>
      </c>
      <c r="F339" s="547">
        <v>45915</v>
      </c>
      <c r="G339" s="548" t="s">
        <v>19</v>
      </c>
      <c r="H339" s="509" t="s">
        <v>49</v>
      </c>
      <c r="I339" s="119">
        <f>=F339</f>
        <v>45915</v>
      </c>
      <c r="J339" s="549">
        <v>45930</v>
      </c>
      <c r="K339" s="549">
        <v>45927</v>
      </c>
      <c r="L339" s="180">
        <f>=J339-I339</f>
        <v>15</v>
      </c>
      <c r="M339" s="550">
        <v>45920</v>
      </c>
      <c r="N339" s="183">
        <f>=M339-I339</f>
        <v>5</v>
      </c>
      <c r="O339" s="181">
        <f>=IF(M339="",TODAY()-J339,M339-J339)</f>
        <v>-10</v>
      </c>
      <c r="P339" s="131" t="s">
        <f>=IF(O339&gt;0,"逾期","正常")</f>
        <v>32</v>
      </c>
      <c r="Q339" s="383" t="s"/>
      <c r="R339" s="384" t="s"/>
    </row>
    <row r="340" spans="1:18">
      <c r="A340" s="551" t="s"/>
      <c r="B340" s="552" t="s"/>
      <c r="C340" s="553" t="s"/>
      <c r="D340" s="554" t="s">
        <v>227</v>
      </c>
      <c r="E340" s="555" t="s">
        <v>23</v>
      </c>
      <c r="F340" s="390">
        <f>=F341-F339</f>
        <v>40</v>
      </c>
      <c r="G340" s="479" t="s">
        <v>24</v>
      </c>
      <c r="H340" s="479" t="s">
        <v>50</v>
      </c>
      <c r="I340" s="134">
        <f>=M339</f>
        <v>45920</v>
      </c>
      <c r="J340" s="134">
        <f>=F341</f>
        <v>45955</v>
      </c>
      <c r="K340" s="134">
        <f>=J340</f>
        <v>45955</v>
      </c>
      <c r="L340" s="492">
        <f>=J340-I340</f>
        <v>35</v>
      </c>
      <c r="M340" s="406">
        <v>45954</v>
      </c>
      <c r="N340" s="423">
        <f>=M340-I340</f>
        <v>34</v>
      </c>
      <c r="O340" s="490">
        <f>=IF(M340="",TODAY()-J340,M340-J340)</f>
        <v>-1</v>
      </c>
      <c r="P340" s="131" t="s">
        <f>=IF(O340&gt;0,"逾期","正常")</f>
        <v>32</v>
      </c>
      <c r="Q340" s="396" t="s"/>
      <c r="R340" s="397" t="s"/>
    </row>
    <row r="341" spans="1:18">
      <c r="A341" s="551" t="s"/>
      <c r="B341" s="552" t="s"/>
      <c r="C341" s="553" t="s"/>
      <c r="D341" s="555" t="s">
        <v>28</v>
      </c>
      <c r="E341" s="555" t="s">
        <v>29</v>
      </c>
      <c r="F341" s="404">
        <v>45955</v>
      </c>
      <c r="G341" s="467" t="s">
        <v>30</v>
      </c>
      <c r="H341" s="467" t="s">
        <v>31</v>
      </c>
      <c r="I341" s="400">
        <f>=M340</f>
        <v>45954</v>
      </c>
      <c r="J341" s="400">
        <f>=I341+L341</f>
        <v>45961</v>
      </c>
      <c r="K341" s="400">
        <f>=J341</f>
        <v>45961</v>
      </c>
      <c r="L341" s="405">
        <v>7</v>
      </c>
      <c r="M341" s="394">
        <v>45957</v>
      </c>
      <c r="N341" s="423">
        <f>=M341-I341</f>
        <v>3</v>
      </c>
      <c r="O341" s="490">
        <f>=IF(M341="",TODAY()-J341,M341-J341)</f>
        <v>-4</v>
      </c>
      <c r="P341" s="131" t="s">
        <f>=IF(O341&gt;0,"逾期","正常")</f>
        <v>32</v>
      </c>
      <c r="Q341" s="396" t="s"/>
      <c r="R341" s="397" t="s"/>
    </row>
    <row r="342" spans="1:18">
      <c r="A342" s="551" t="s"/>
      <c r="B342" s="552" t="s"/>
      <c r="C342" s="553" t="s"/>
      <c r="D342" s="555" t="s">
        <v>33</v>
      </c>
      <c r="E342" s="555" t="s">
        <v>34</v>
      </c>
      <c r="F342" s="136">
        <f>=IF(M340="",TODAY()-F339,M340-F339)</f>
        <v>39</v>
      </c>
      <c r="G342" s="403" t="s">
        <v>35</v>
      </c>
      <c r="H342" s="403" t="s">
        <v>143</v>
      </c>
      <c r="I342" s="404">
        <f>=M341</f>
        <v>45957</v>
      </c>
      <c r="J342" s="404">
        <f>=I342+L342</f>
        <v>45983</v>
      </c>
      <c r="K342" s="404">
        <f>=J342</f>
        <v>45983</v>
      </c>
      <c r="L342" s="405">
        <v>26</v>
      </c>
      <c r="M342" s="406">
        <v>45969</v>
      </c>
      <c r="N342" s="423">
        <f>=M342-I342</f>
        <v>12</v>
      </c>
      <c r="O342" s="490">
        <f>=IF(M342="",TODAY()-J342,M342-J342)</f>
        <v>-14</v>
      </c>
      <c r="P342" s="131" t="s">
        <f>=IF(O342&gt;0,"逾期","正常")</f>
        <v>32</v>
      </c>
      <c r="Q342" s="396" t="s">
        <v>333</v>
      </c>
      <c r="R342" s="397" t="s"/>
    </row>
    <row r="343" spans="1:18">
      <c r="A343" s="551" t="s"/>
      <c r="B343" s="552" t="s"/>
      <c r="C343" s="553" t="s"/>
      <c r="D343" s="556" t="s">
        <v>36</v>
      </c>
      <c r="E343" s="556" t="s">
        <v>37</v>
      </c>
      <c r="F343" s="557">
        <v>0.9</v>
      </c>
      <c r="G343" s="558" t="s">
        <v>38</v>
      </c>
      <c r="H343" s="142" t="s">
        <f>=D340</f>
        <v>227</v>
      </c>
      <c r="I343" s="412">
        <f>=M342</f>
        <v>45969</v>
      </c>
      <c r="J343" s="412">
        <f>=I343+L343</f>
        <v>46059</v>
      </c>
      <c r="K343" s="412">
        <f>=J343</f>
        <v>46059</v>
      </c>
      <c r="L343" s="413">
        <v>90</v>
      </c>
      <c r="M343" s="414" t="s"/>
      <c r="N343" s="415" t="s"/>
      <c r="O343" s="490">
        <f>=IF(M343="",TODAY()-J343,M343-J343)</f>
        <v>83</v>
      </c>
      <c r="P343" s="416" t="s">
        <f>=IF(O343&gt;0,"逾期","正常")</f>
        <v>21</v>
      </c>
      <c r="Q343" s="417" t="s"/>
      <c r="R343" s="418" t="s"/>
    </row>
    <row r="344" spans="1:18">
      <c r="A344" s="543" t="s">
        <v>334</v>
      </c>
      <c r="B344" s="544" t="s">
        <v>32</v>
      </c>
      <c r="C344" s="545" t="s">
        <v>108</v>
      </c>
      <c r="D344" s="546" t="s">
        <v>17</v>
      </c>
      <c r="E344" s="546" t="s">
        <v>18</v>
      </c>
      <c r="F344" s="547">
        <v>45918</v>
      </c>
      <c r="G344" s="548" t="s">
        <v>19</v>
      </c>
      <c r="H344" s="548" t="s">
        <v>63</v>
      </c>
      <c r="I344" s="119">
        <f>=F344</f>
        <v>45918</v>
      </c>
      <c r="J344" s="549">
        <v>45928</v>
      </c>
      <c r="K344" s="549">
        <v>45926</v>
      </c>
      <c r="L344" s="180">
        <f>=J344-I344</f>
        <v>10</v>
      </c>
      <c r="M344" s="550">
        <v>45922</v>
      </c>
      <c r="N344" s="183">
        <f>=M344-I344</f>
        <v>4</v>
      </c>
      <c r="O344" s="181">
        <f>=IF(M344="",TODAY()-J344,M344-J344)</f>
        <v>-6</v>
      </c>
      <c r="P344" s="131" t="s">
        <f>=IF(O344&gt;0,"逾期","正常")</f>
        <v>32</v>
      </c>
      <c r="Q344" s="494" t="s">
        <v>335</v>
      </c>
      <c r="R344" s="384" t="s"/>
    </row>
    <row r="345" spans="1:18">
      <c r="A345" s="551" t="s"/>
      <c r="B345" s="552" t="s"/>
      <c r="C345" s="553" t="s"/>
      <c r="D345" s="554" t="s">
        <v>72</v>
      </c>
      <c r="E345" s="555" t="s">
        <v>23</v>
      </c>
      <c r="F345" s="390">
        <f>=F346-F344</f>
        <v>25</v>
      </c>
      <c r="G345" s="479" t="s">
        <v>24</v>
      </c>
      <c r="H345" s="479" t="s">
        <v>50</v>
      </c>
      <c r="I345" s="134">
        <f>=M344</f>
        <v>45922</v>
      </c>
      <c r="J345" s="134">
        <f>=F346</f>
        <v>45943</v>
      </c>
      <c r="K345" s="134">
        <f>=J345</f>
        <v>45943</v>
      </c>
      <c r="L345" s="492">
        <f>=J345-I345</f>
        <v>21</v>
      </c>
      <c r="M345" s="406">
        <v>45929</v>
      </c>
      <c r="N345" s="423">
        <f>=M345-I345</f>
        <v>7</v>
      </c>
      <c r="O345" s="490">
        <f>=IF(M345="",TODAY()-J345,M345-J345)</f>
        <v>-14</v>
      </c>
      <c r="P345" s="131" t="s">
        <f>=IF(O345&gt;0,"逾期","正常")</f>
        <v>32</v>
      </c>
      <c r="Q345" s="396" t="s"/>
      <c r="R345" s="397" t="s"/>
    </row>
    <row r="346" spans="1:18">
      <c r="A346" s="551" t="s"/>
      <c r="B346" s="552" t="s"/>
      <c r="C346" s="553" t="s"/>
      <c r="D346" s="555" t="s">
        <v>28</v>
      </c>
      <c r="E346" s="555" t="s">
        <v>29</v>
      </c>
      <c r="F346" s="404">
        <v>45943</v>
      </c>
      <c r="G346" s="467" t="s">
        <v>30</v>
      </c>
      <c r="H346" s="467" t="s">
        <v>31</v>
      </c>
      <c r="I346" s="400">
        <f>=M345</f>
        <v>45929</v>
      </c>
      <c r="J346" s="400">
        <f>=I346+L346</f>
        <v>45936</v>
      </c>
      <c r="K346" s="400">
        <f>=J346</f>
        <v>45936</v>
      </c>
      <c r="L346" s="405">
        <v>7</v>
      </c>
      <c r="M346" s="394">
        <v>45940</v>
      </c>
      <c r="N346" s="423">
        <f>=M346-I346</f>
        <v>11</v>
      </c>
      <c r="O346" s="490">
        <f>=IF(M346="",TODAY()-J346,M346-J346)</f>
        <v>4</v>
      </c>
      <c r="P346" s="131" t="s">
        <f>=IF(O346&gt;0,"逾期","正常")</f>
        <v>21</v>
      </c>
      <c r="Q346" s="396" t="s">
        <v>336</v>
      </c>
      <c r="R346" s="397" t="s"/>
    </row>
    <row r="347" spans="1:18">
      <c r="A347" s="551" t="s"/>
      <c r="B347" s="552" t="s"/>
      <c r="C347" s="553" t="s"/>
      <c r="D347" s="555" t="s">
        <v>33</v>
      </c>
      <c r="E347" s="555" t="s">
        <v>34</v>
      </c>
      <c r="F347" s="136">
        <f>=IF(M345="",TODAY()-F344,M345-F344)</f>
        <v>11</v>
      </c>
      <c r="G347" s="403" t="s">
        <v>35</v>
      </c>
      <c r="H347" s="403" t="s">
        <v>143</v>
      </c>
      <c r="I347" s="404">
        <f>=M346</f>
        <v>45940</v>
      </c>
      <c r="J347" s="404">
        <f>=I347+L347</f>
        <v>45949</v>
      </c>
      <c r="K347" s="404">
        <f>=J347</f>
        <v>45949</v>
      </c>
      <c r="L347" s="405">
        <v>9</v>
      </c>
      <c r="M347" s="406">
        <v>45949</v>
      </c>
      <c r="N347" s="423">
        <f>=M347-I347</f>
        <v>9</v>
      </c>
      <c r="O347" s="490">
        <f>=IF(M347="",TODAY()-J347,M347-J347)</f>
        <v>0</v>
      </c>
      <c r="P347" s="131" t="s">
        <f>=IF(O347&gt;0,"逾期","正常")</f>
        <v>32</v>
      </c>
      <c r="Q347" s="396" t="s"/>
      <c r="R347" s="397" t="s"/>
    </row>
    <row r="348" spans="1:18">
      <c r="A348" s="551" t="s"/>
      <c r="B348" s="552" t="s"/>
      <c r="C348" s="553" t="s"/>
      <c r="D348" s="556" t="s">
        <v>36</v>
      </c>
      <c r="E348" s="556" t="s">
        <v>37</v>
      </c>
      <c r="F348" s="557">
        <v>0.9</v>
      </c>
      <c r="G348" s="558" t="s">
        <v>38</v>
      </c>
      <c r="H348" s="142" t="s">
        <f>=D345</f>
        <v>72</v>
      </c>
      <c r="I348" s="412">
        <f>=M347</f>
        <v>45949</v>
      </c>
      <c r="J348" s="412">
        <f>=I348+L348</f>
        <v>46039</v>
      </c>
      <c r="K348" s="412">
        <f>=J348</f>
        <v>46039</v>
      </c>
      <c r="L348" s="413">
        <v>90</v>
      </c>
      <c r="M348" s="414" t="s"/>
      <c r="N348" s="415" t="s"/>
      <c r="O348" s="490">
        <f>=IF(M348="",TODAY()-J348,M348-J348)</f>
        <v>103</v>
      </c>
      <c r="P348" s="416" t="s">
        <f>=IF(O348&gt;0,"逾期","正常")</f>
        <v>21</v>
      </c>
      <c r="Q348" s="417" t="s"/>
      <c r="R348" s="418" t="s"/>
    </row>
    <row r="349" spans="1:18">
      <c r="A349" s="543" t="s">
        <v>337</v>
      </c>
      <c r="B349" s="544" t="s">
        <v>32</v>
      </c>
      <c r="C349" s="545" t="s">
        <v>89</v>
      </c>
      <c r="D349" s="546" t="s">
        <v>17</v>
      </c>
      <c r="E349" s="546" t="s">
        <v>18</v>
      </c>
      <c r="F349" s="547">
        <v>45918</v>
      </c>
      <c r="G349" s="548" t="s">
        <v>19</v>
      </c>
      <c r="H349" s="509" t="s">
        <v>49</v>
      </c>
      <c r="I349" s="119">
        <f>=F349</f>
        <v>45918</v>
      </c>
      <c r="J349" s="549">
        <v>45938</v>
      </c>
      <c r="K349" s="549">
        <v>45933</v>
      </c>
      <c r="L349" s="180">
        <f>=J349-I349</f>
        <v>20</v>
      </c>
      <c r="M349" s="550">
        <v>45930</v>
      </c>
      <c r="N349" s="183">
        <f>=M349-I349</f>
        <v>12</v>
      </c>
      <c r="O349" s="487">
        <f>=IF(M349="",TODAY()-J349,M349-J349)</f>
        <v>-8</v>
      </c>
      <c r="P349" s="131" t="s">
        <f>=IF(O349&gt;0,"逾期","正常")</f>
        <v>32</v>
      </c>
      <c r="Q349" s="383" t="s">
        <v>338</v>
      </c>
      <c r="R349" s="384" t="s"/>
    </row>
    <row r="350" spans="1:18">
      <c r="A350" s="551" t="s"/>
      <c r="B350" s="552" t="s"/>
      <c r="C350" s="553" t="s"/>
      <c r="D350" s="554" t="s">
        <v>65</v>
      </c>
      <c r="E350" s="555" t="s">
        <v>23</v>
      </c>
      <c r="F350" s="390">
        <f>=F351-F349</f>
        <v>45</v>
      </c>
      <c r="G350" s="403" t="s">
        <v>24</v>
      </c>
      <c r="H350" s="403" t="s">
        <v>50</v>
      </c>
      <c r="I350" s="404">
        <f>=M349</f>
        <v>45930</v>
      </c>
      <c r="J350" s="134">
        <f>=F351</f>
        <v>45963</v>
      </c>
      <c r="K350" s="134">
        <f>=J350</f>
        <v>45963</v>
      </c>
      <c r="L350" s="422">
        <f>=J350-I350</f>
        <v>33</v>
      </c>
      <c r="M350" s="406">
        <v>46049</v>
      </c>
      <c r="N350" s="423">
        <f>=M350-I350</f>
        <v>119</v>
      </c>
      <c r="O350" s="490">
        <f>=IF(M350="",TODAY()-J350,M350-J350)</f>
        <v>86</v>
      </c>
      <c r="P350" s="131" t="s">
        <f>=IF(O350&gt;0,"逾期","正常")</f>
        <v>21</v>
      </c>
      <c r="Q350" s="396" t="s">
        <v>339</v>
      </c>
      <c r="R350" s="397" t="s"/>
    </row>
    <row r="351" spans="1:18">
      <c r="A351" s="551" t="s"/>
      <c r="B351" s="552" t="s"/>
      <c r="C351" s="553" t="s"/>
      <c r="D351" s="555" t="s">
        <v>28</v>
      </c>
      <c r="E351" s="555" t="s">
        <v>29</v>
      </c>
      <c r="F351" s="404">
        <v>45963</v>
      </c>
      <c r="G351" s="403" t="s">
        <v>30</v>
      </c>
      <c r="H351" s="403" t="s">
        <v>31</v>
      </c>
      <c r="I351" s="404">
        <f>=M350</f>
        <v>46049</v>
      </c>
      <c r="J351" s="404">
        <f>=I351+L351</f>
        <v>46056</v>
      </c>
      <c r="K351" s="404">
        <f>=J351</f>
        <v>46056</v>
      </c>
      <c r="L351" s="405">
        <v>7</v>
      </c>
      <c r="M351" s="406">
        <v>46129</v>
      </c>
      <c r="N351" s="423">
        <f>=M351-I351</f>
        <v>80</v>
      </c>
      <c r="O351" s="490">
        <f>=IF(M351="",TODAY()-J351,M351-J351)</f>
        <v>73</v>
      </c>
      <c r="P351" s="131" t="s">
        <f>=IF(O351&gt;0,"逾期","正常")</f>
        <v>21</v>
      </c>
      <c r="Q351" s="396" t="s">
        <v>340</v>
      </c>
      <c r="R351" s="397" t="s"/>
    </row>
    <row r="352" spans="1:18">
      <c r="A352" s="551" t="s"/>
      <c r="B352" s="552" t="s"/>
      <c r="C352" s="553" t="s"/>
      <c r="D352" s="555" t="s">
        <v>33</v>
      </c>
      <c r="E352" s="555" t="s">
        <v>34</v>
      </c>
      <c r="F352" s="136">
        <f>=IF(M350="",TODAY()-F349,M350-F349)</f>
        <v>131</v>
      </c>
      <c r="G352" s="561" t="s">
        <v>35</v>
      </c>
      <c r="H352" s="561" t="s">
        <v>275</v>
      </c>
      <c r="I352" s="562">
        <f>=M351</f>
        <v>46129</v>
      </c>
      <c r="J352" s="562">
        <f>=I352+L352</f>
        <v>46132</v>
      </c>
      <c r="K352" s="562">
        <f>=J352</f>
        <v>46132</v>
      </c>
      <c r="L352" s="563">
        <v>3</v>
      </c>
      <c r="M352" s="564" t="s"/>
      <c r="N352" s="423" t="s"/>
      <c r="O352" s="490">
        <f>=IF(M352="",TODAY()-J352,M352-J352)</f>
        <v>10</v>
      </c>
      <c r="P352" s="131" t="s">
        <f>=IF(O352&gt;0,"逾期","正常")</f>
        <v>21</v>
      </c>
      <c r="Q352" s="396" t="s">
        <v>341</v>
      </c>
      <c r="R352" s="397" t="s"/>
    </row>
    <row r="353" spans="1:18">
      <c r="A353" s="551" t="s"/>
      <c r="B353" s="552" t="s"/>
      <c r="C353" s="553" t="s"/>
      <c r="D353" s="556" t="s">
        <v>36</v>
      </c>
      <c r="E353" s="556" t="s">
        <v>37</v>
      </c>
      <c r="F353" s="557">
        <v>0.9</v>
      </c>
      <c r="G353" s="565" t="s">
        <v>38</v>
      </c>
      <c r="H353" s="171" t="s">
        <f>=D350</f>
        <v>65</v>
      </c>
      <c r="I353" s="430" t="s"/>
      <c r="J353" s="430" t="s"/>
      <c r="K353" s="430" t="s"/>
      <c r="L353" s="431">
        <v>90</v>
      </c>
      <c r="M353" s="432" t="s"/>
      <c r="N353" s="415" t="s"/>
      <c r="O353" s="423" t="s"/>
      <c r="P353" s="416" t="s">
        <f>=IF(O353&gt;0,"逾期","正常")</f>
        <v>32</v>
      </c>
      <c r="Q353" s="417" t="s"/>
      <c r="R353" s="418" t="s"/>
    </row>
    <row r="354" spans="1:18">
      <c r="A354" s="543" t="s">
        <v>342</v>
      </c>
      <c r="B354" s="544" t="s">
        <v>32</v>
      </c>
      <c r="C354" s="545" t="s">
        <v>48</v>
      </c>
      <c r="D354" s="566" t="s">
        <v>17</v>
      </c>
      <c r="E354" s="566" t="s">
        <v>18</v>
      </c>
      <c r="F354" s="547">
        <v>45920</v>
      </c>
      <c r="G354" s="567" t="s">
        <v>19</v>
      </c>
      <c r="H354" s="567" t="s">
        <v>63</v>
      </c>
      <c r="I354" s="568">
        <f>=F354</f>
        <v>45920</v>
      </c>
      <c r="J354" s="569">
        <v>45935</v>
      </c>
      <c r="K354" s="569">
        <v>45932</v>
      </c>
      <c r="L354" s="570">
        <f>=J354-I354</f>
        <v>15</v>
      </c>
      <c r="M354" s="571">
        <v>45923</v>
      </c>
      <c r="N354" s="572">
        <f>=M354-I354</f>
        <v>3</v>
      </c>
      <c r="O354" s="570">
        <f>=IF(M354="",TODAY()-J354,M354-J354)</f>
        <v>-12</v>
      </c>
      <c r="P354" s="131" t="s">
        <f>=IF(O354&gt;0,"逾期","正常")</f>
        <v>32</v>
      </c>
      <c r="Q354" s="573" t="s"/>
      <c r="R354" s="574" t="s"/>
    </row>
    <row r="355" spans="1:18">
      <c r="A355" s="551" t="s"/>
      <c r="B355" s="552" t="s"/>
      <c r="C355" s="553" t="s"/>
      <c r="D355" s="554" t="s">
        <v>57</v>
      </c>
      <c r="E355" s="575" t="s">
        <v>23</v>
      </c>
      <c r="F355" s="390">
        <f>=F356-F354</f>
        <v>30</v>
      </c>
      <c r="G355" s="479" t="s">
        <v>24</v>
      </c>
      <c r="H355" s="479" t="s">
        <v>50</v>
      </c>
      <c r="I355" s="134">
        <f>=M354</f>
        <v>45923</v>
      </c>
      <c r="J355" s="134">
        <f>=F356</f>
        <v>45950</v>
      </c>
      <c r="K355" s="134">
        <f>=J355</f>
        <v>45950</v>
      </c>
      <c r="L355" s="492">
        <f>=J355-I355</f>
        <v>27</v>
      </c>
      <c r="M355" s="406">
        <v>45965</v>
      </c>
      <c r="N355" s="467">
        <f>=M355-I355</f>
        <v>42</v>
      </c>
      <c r="O355" s="127">
        <f>=IF(M355="",TODAY()-J355,M355-J355)</f>
        <v>15</v>
      </c>
      <c r="P355" s="131" t="s">
        <f>=IF(O355&gt;0,"逾期","正常")</f>
        <v>21</v>
      </c>
      <c r="Q355" s="576" t="s">
        <v>343</v>
      </c>
      <c r="R355" s="577" t="s"/>
    </row>
    <row r="356" spans="1:18">
      <c r="A356" s="551" t="s"/>
      <c r="B356" s="552" t="s"/>
      <c r="C356" s="553" t="s"/>
      <c r="D356" s="575" t="s">
        <v>28</v>
      </c>
      <c r="E356" s="575" t="s">
        <v>29</v>
      </c>
      <c r="F356" s="404">
        <v>45950</v>
      </c>
      <c r="G356" s="467" t="s">
        <v>30</v>
      </c>
      <c r="H356" s="467" t="s">
        <v>31</v>
      </c>
      <c r="I356" s="400">
        <f>=M355</f>
        <v>45965</v>
      </c>
      <c r="J356" s="400">
        <f>=I356+L356</f>
        <v>45972</v>
      </c>
      <c r="K356" s="400">
        <f>=J356</f>
        <v>45972</v>
      </c>
      <c r="L356" s="578">
        <v>7</v>
      </c>
      <c r="M356" s="394">
        <v>45968</v>
      </c>
      <c r="N356" s="467">
        <f>=M356-I356</f>
        <v>3</v>
      </c>
      <c r="O356" s="127">
        <f>=IF(M356="",TODAY()-J356,M356-J356)</f>
        <v>-4</v>
      </c>
      <c r="P356" s="131" t="s">
        <f>=IF(O356&gt;0,"逾期","正常")</f>
        <v>32</v>
      </c>
      <c r="Q356" s="576" t="s"/>
      <c r="R356" s="577" t="s"/>
    </row>
    <row r="357" spans="1:18">
      <c r="A357" s="551" t="s"/>
      <c r="B357" s="552" t="s"/>
      <c r="C357" s="553" t="s"/>
      <c r="D357" s="575" t="s">
        <v>33</v>
      </c>
      <c r="E357" s="575" t="s">
        <v>34</v>
      </c>
      <c r="F357" s="136">
        <f>=IF(M355="",TODAY()-F354,M355-F354)</f>
        <v>45</v>
      </c>
      <c r="G357" s="403" t="s">
        <v>35</v>
      </c>
      <c r="H357" s="403" t="s">
        <v>256</v>
      </c>
      <c r="I357" s="404">
        <f>=M356</f>
        <v>45968</v>
      </c>
      <c r="J357" s="404">
        <f>=I357+L357</f>
        <v>45976</v>
      </c>
      <c r="K357" s="404">
        <f>=J357</f>
        <v>45976</v>
      </c>
      <c r="L357" s="578">
        <v>8</v>
      </c>
      <c r="M357" s="406">
        <v>45988</v>
      </c>
      <c r="N357" s="467">
        <f>=M357-I357</f>
        <v>20</v>
      </c>
      <c r="O357" s="127">
        <f>=IF(M357="",TODAY()-J357,M357-J357)</f>
        <v>12</v>
      </c>
      <c r="P357" s="131" t="s">
        <f>=IF(O357&gt;0,"逾期","正常")</f>
        <v>21</v>
      </c>
      <c r="Q357" s="576" t="s">
        <v>344</v>
      </c>
      <c r="R357" s="577" t="s"/>
    </row>
    <row r="358" spans="1:18">
      <c r="A358" s="551" t="s"/>
      <c r="B358" s="552" t="s"/>
      <c r="C358" s="553" t="s"/>
      <c r="D358" s="579" t="s">
        <v>36</v>
      </c>
      <c r="E358" s="579" t="s">
        <v>37</v>
      </c>
      <c r="F358" s="557">
        <v>0.9</v>
      </c>
      <c r="G358" s="558" t="s">
        <v>38</v>
      </c>
      <c r="H358" s="142" t="s">
        <f>=D355</f>
        <v>57</v>
      </c>
      <c r="I358" s="412">
        <f>=M357</f>
        <v>45988</v>
      </c>
      <c r="J358" s="412">
        <f>=I358+L358</f>
        <v>46078</v>
      </c>
      <c r="K358" s="412">
        <f>=J358</f>
        <v>46078</v>
      </c>
      <c r="L358" s="580">
        <v>90</v>
      </c>
      <c r="M358" s="414" t="s"/>
      <c r="N358" s="581" t="s"/>
      <c r="O358" s="127">
        <f>=IF(M358="",TODAY()-J358,M358-J358)</f>
        <v>72</v>
      </c>
      <c r="P358" s="433" t="s">
        <f>=IF(O358&gt;0,"逾期","正常")</f>
        <v>21</v>
      </c>
      <c r="Q358" s="582" t="s"/>
      <c r="R358" s="583" t="s"/>
    </row>
    <row r="359" spans="1:18">
      <c r="A359" s="543" t="s">
        <v>345</v>
      </c>
      <c r="B359" s="544" t="s">
        <v>32</v>
      </c>
      <c r="C359" s="545" t="s">
        <v>108</v>
      </c>
      <c r="D359" s="566" t="s">
        <v>17</v>
      </c>
      <c r="E359" s="566" t="s">
        <v>18</v>
      </c>
      <c r="F359" s="547">
        <v>45928</v>
      </c>
      <c r="G359" s="548" t="s">
        <v>19</v>
      </c>
      <c r="H359" s="509" t="s">
        <v>63</v>
      </c>
      <c r="I359" s="119">
        <f>=F359</f>
        <v>45928</v>
      </c>
      <c r="J359" s="549">
        <v>45938</v>
      </c>
      <c r="K359" s="549">
        <v>45936</v>
      </c>
      <c r="L359" s="180">
        <f>=J359-I359</f>
        <v>10</v>
      </c>
      <c r="M359" s="550">
        <v>45943</v>
      </c>
      <c r="N359" s="584">
        <f>=M359-I359</f>
        <v>15</v>
      </c>
      <c r="O359" s="118">
        <f>=IF(M359="",TODAY()-J359,M359-J359)</f>
        <v>5</v>
      </c>
      <c r="P359" s="131" t="s">
        <f>=IF(O359&gt;0,"逾期","正常")</f>
        <v>21</v>
      </c>
      <c r="Q359" s="585" t="s">
        <v>346</v>
      </c>
      <c r="R359" s="574" t="s"/>
    </row>
    <row r="360" spans="1:18">
      <c r="A360" s="551" t="s"/>
      <c r="B360" s="552" t="s"/>
      <c r="C360" s="553" t="s"/>
      <c r="D360" s="554" t="s">
        <v>72</v>
      </c>
      <c r="E360" s="575" t="s">
        <v>23</v>
      </c>
      <c r="F360" s="390">
        <f>=F361-F359</f>
        <v>25</v>
      </c>
      <c r="G360" s="479" t="s">
        <v>24</v>
      </c>
      <c r="H360" s="479" t="s">
        <v>50</v>
      </c>
      <c r="I360" s="134">
        <f>=M359</f>
        <v>45943</v>
      </c>
      <c r="J360" s="134">
        <f>=F361</f>
        <v>45953</v>
      </c>
      <c r="K360" s="134">
        <f>=J360</f>
        <v>45953</v>
      </c>
      <c r="L360" s="492">
        <f>=J360-I360</f>
        <v>10</v>
      </c>
      <c r="M360" s="406">
        <v>45961</v>
      </c>
      <c r="N360" s="467">
        <f>=M360-I360</f>
        <v>18</v>
      </c>
      <c r="O360" s="127">
        <f>=IF(M360="",TODAY()-J360,M360-J360)</f>
        <v>8</v>
      </c>
      <c r="P360" s="131" t="s">
        <f>=IF(O360&gt;0,"逾期","正常")</f>
        <v>21</v>
      </c>
      <c r="Q360" s="576" t="s">
        <v>347</v>
      </c>
      <c r="R360" s="577" t="s"/>
    </row>
    <row r="361" spans="1:18">
      <c r="A361" s="551" t="s"/>
      <c r="B361" s="552" t="s"/>
      <c r="C361" s="553" t="s"/>
      <c r="D361" s="575" t="s">
        <v>28</v>
      </c>
      <c r="E361" s="575" t="s">
        <v>29</v>
      </c>
      <c r="F361" s="404">
        <v>45953</v>
      </c>
      <c r="G361" s="403" t="s">
        <v>30</v>
      </c>
      <c r="H361" s="403" t="s">
        <v>31</v>
      </c>
      <c r="I361" s="404">
        <f>=M360</f>
        <v>45961</v>
      </c>
      <c r="J361" s="404">
        <f>=I361+L361</f>
        <v>45968</v>
      </c>
      <c r="K361" s="404">
        <f>=J361</f>
        <v>45968</v>
      </c>
      <c r="L361" s="578">
        <v>7</v>
      </c>
      <c r="M361" s="406">
        <v>45968</v>
      </c>
      <c r="N361" s="467">
        <f>=M361-I361</f>
        <v>7</v>
      </c>
      <c r="O361" s="127">
        <f>=IF(M361="",TODAY()-J361,M361-J361)</f>
        <v>0</v>
      </c>
      <c r="P361" s="131" t="s">
        <f>=IF(O361&gt;0,"逾期","正常")</f>
        <v>32</v>
      </c>
      <c r="Q361" s="576" t="s"/>
      <c r="R361" s="577" t="s"/>
    </row>
    <row r="362" spans="1:18">
      <c r="A362" s="551" t="s"/>
      <c r="B362" s="552" t="s"/>
      <c r="C362" s="553" t="s"/>
      <c r="D362" s="575" t="s">
        <v>46</v>
      </c>
      <c r="E362" s="575" t="s">
        <v>34</v>
      </c>
      <c r="F362" s="136">
        <f>=IF(M360="",TODAY()-F359,M360-F359)</f>
        <v>33</v>
      </c>
      <c r="G362" s="403" t="s">
        <v>35</v>
      </c>
      <c r="H362" s="403" t="s">
        <v>143</v>
      </c>
      <c r="I362" s="404">
        <v>45971</v>
      </c>
      <c r="J362" s="404">
        <f>=I362+L362</f>
        <v>45979</v>
      </c>
      <c r="K362" s="404">
        <f>=J362</f>
        <v>45979</v>
      </c>
      <c r="L362" s="578">
        <v>8</v>
      </c>
      <c r="M362" s="406">
        <v>45999</v>
      </c>
      <c r="N362" s="467">
        <f>=M362-I362</f>
        <v>28</v>
      </c>
      <c r="O362" s="127">
        <f>=IF(M362="",TODAY()-J362,M362-J362)</f>
        <v>20</v>
      </c>
      <c r="P362" s="131" t="s">
        <f>=IF(O362&gt;0,"逾期","正常")</f>
        <v>21</v>
      </c>
      <c r="Q362" s="576" t="s">
        <v>348</v>
      </c>
      <c r="R362" s="577" t="s"/>
    </row>
    <row r="363" spans="1:18">
      <c r="A363" s="551" t="s"/>
      <c r="B363" s="552" t="s"/>
      <c r="C363" s="553" t="s"/>
      <c r="D363" s="579" t="s">
        <v>36</v>
      </c>
      <c r="E363" s="579" t="s">
        <v>37</v>
      </c>
      <c r="F363" s="557">
        <v>0.9</v>
      </c>
      <c r="G363" s="558" t="s">
        <v>38</v>
      </c>
      <c r="H363" s="142" t="s">
        <f>=D360</f>
        <v>72</v>
      </c>
      <c r="I363" s="412">
        <f>=M362</f>
        <v>45999</v>
      </c>
      <c r="J363" s="412">
        <f>=I363+L363</f>
        <v>46089</v>
      </c>
      <c r="K363" s="412">
        <f>=J363</f>
        <v>46089</v>
      </c>
      <c r="L363" s="580">
        <v>90</v>
      </c>
      <c r="M363" s="414" t="s"/>
      <c r="N363" s="581" t="s"/>
      <c r="O363" s="127">
        <f>=IF(M363="",TODAY()-J363,M363-J363)</f>
        <v>60</v>
      </c>
      <c r="P363" s="433" t="s">
        <f>=IF(O363&gt;0,"逾期","正常")</f>
        <v>21</v>
      </c>
      <c r="Q363" s="582" t="s"/>
      <c r="R363" s="583" t="s"/>
    </row>
    <row r="364" spans="1:18">
      <c r="A364" s="543" t="s">
        <v>349</v>
      </c>
      <c r="B364" s="544" t="s">
        <v>32</v>
      </c>
      <c r="C364" s="545" t="s">
        <v>108</v>
      </c>
      <c r="D364" s="566" t="s">
        <v>17</v>
      </c>
      <c r="E364" s="566" t="s">
        <v>18</v>
      </c>
      <c r="F364" s="547">
        <v>45928</v>
      </c>
      <c r="G364" s="548" t="s">
        <v>19</v>
      </c>
      <c r="H364" s="509" t="s">
        <v>63</v>
      </c>
      <c r="I364" s="119">
        <f>=F364</f>
        <v>45928</v>
      </c>
      <c r="J364" s="549">
        <v>45940</v>
      </c>
      <c r="K364" s="549">
        <v>45938</v>
      </c>
      <c r="L364" s="180">
        <f>=J364-I364</f>
        <v>12</v>
      </c>
      <c r="M364" s="550">
        <v>45929</v>
      </c>
      <c r="N364" s="584">
        <f>=M364-I364</f>
        <v>1</v>
      </c>
      <c r="O364" s="181">
        <f>=IF(M364="",TODAY()-J364,M364-J364)</f>
        <v>-11</v>
      </c>
      <c r="P364" s="131" t="s">
        <f>=IF(O364&gt;0,"逾期","正常")</f>
        <v>32</v>
      </c>
      <c r="Q364" s="585" t="s"/>
      <c r="R364" s="574" t="s"/>
    </row>
    <row r="365" spans="1:18">
      <c r="A365" s="551" t="s"/>
      <c r="B365" s="552" t="s"/>
      <c r="C365" s="553" t="s"/>
      <c r="D365" s="554" t="s">
        <v>65</v>
      </c>
      <c r="E365" s="575" t="s">
        <v>23</v>
      </c>
      <c r="F365" s="390">
        <f>=F366-F364</f>
        <v>40</v>
      </c>
      <c r="G365" s="479" t="s">
        <v>24</v>
      </c>
      <c r="H365" s="479" t="s">
        <v>50</v>
      </c>
      <c r="I365" s="134">
        <f>=M364</f>
        <v>45929</v>
      </c>
      <c r="J365" s="134">
        <f>=F366</f>
        <v>45968</v>
      </c>
      <c r="K365" s="134">
        <f>=J365</f>
        <v>45968</v>
      </c>
      <c r="L365" s="492">
        <f>=J365-I365</f>
        <v>39</v>
      </c>
      <c r="M365" s="406">
        <v>45946</v>
      </c>
      <c r="N365" s="467">
        <f>=M365-I365</f>
        <v>17</v>
      </c>
      <c r="O365" s="127">
        <f>=IF(M365="",TODAY()-J365,M365-J365)</f>
        <v>-22</v>
      </c>
      <c r="P365" s="131" t="s">
        <f>=IF(O365&gt;0,"逾期","正常")</f>
        <v>32</v>
      </c>
      <c r="Q365" s="576" t="s"/>
      <c r="R365" s="577" t="s"/>
    </row>
    <row r="366" spans="1:18">
      <c r="A366" s="551" t="s"/>
      <c r="B366" s="552" t="s"/>
      <c r="C366" s="553" t="s"/>
      <c r="D366" s="575" t="s">
        <v>28</v>
      </c>
      <c r="E366" s="575" t="s">
        <v>29</v>
      </c>
      <c r="F366" s="404">
        <v>45968</v>
      </c>
      <c r="G366" s="467" t="s">
        <v>30</v>
      </c>
      <c r="H366" s="467" t="s">
        <v>31</v>
      </c>
      <c r="I366" s="400">
        <f>=M365</f>
        <v>45946</v>
      </c>
      <c r="J366" s="400">
        <f>=I366+L366</f>
        <v>45953</v>
      </c>
      <c r="K366" s="400">
        <f>=J366</f>
        <v>45953</v>
      </c>
      <c r="L366" s="578">
        <v>7</v>
      </c>
      <c r="M366" s="394">
        <v>45948</v>
      </c>
      <c r="N366" s="467">
        <f>=M366-I366</f>
        <v>2</v>
      </c>
      <c r="O366" s="127">
        <f>=IF(M366="",TODAY()-J366,M366-J366)</f>
        <v>-5</v>
      </c>
      <c r="P366" s="131" t="s">
        <f>=IF(O366&gt;0,"逾期","正常")</f>
        <v>32</v>
      </c>
      <c r="Q366" s="576" t="s"/>
      <c r="R366" s="577" t="s"/>
    </row>
    <row r="367" spans="1:18">
      <c r="A367" s="551" t="s"/>
      <c r="B367" s="552" t="s"/>
      <c r="C367" s="553" t="s"/>
      <c r="D367" s="575" t="s">
        <v>51</v>
      </c>
      <c r="E367" s="575" t="s">
        <v>34</v>
      </c>
      <c r="F367" s="136">
        <f>=IF(M365="",TODAY()-F364,M365-F364)</f>
        <v>18</v>
      </c>
      <c r="G367" s="403" t="s">
        <v>35</v>
      </c>
      <c r="H367" s="403" t="s">
        <v>224</v>
      </c>
      <c r="I367" s="404">
        <f>=M366</f>
        <v>45948</v>
      </c>
      <c r="J367" s="404">
        <f>=I367+L367</f>
        <v>45956</v>
      </c>
      <c r="K367" s="404">
        <f>=J367</f>
        <v>45956</v>
      </c>
      <c r="L367" s="578">
        <v>8</v>
      </c>
      <c r="M367" s="406">
        <v>45976</v>
      </c>
      <c r="N367" s="467">
        <f>=M367-I367</f>
        <v>28</v>
      </c>
      <c r="O367" s="127">
        <f>=IF(M367="",TODAY()-J367,M367-J367)</f>
        <v>20</v>
      </c>
      <c r="P367" s="131" t="s">
        <f>=IF(O367&gt;0,"逾期","正常")</f>
        <v>21</v>
      </c>
      <c r="Q367" s="576" t="s">
        <v>350</v>
      </c>
      <c r="R367" s="577" t="s"/>
    </row>
    <row r="368" spans="1:18">
      <c r="A368" s="551" t="s"/>
      <c r="B368" s="552" t="s"/>
      <c r="C368" s="553" t="s"/>
      <c r="D368" s="579" t="s">
        <v>36</v>
      </c>
      <c r="E368" s="579" t="s">
        <v>37</v>
      </c>
      <c r="F368" s="557">
        <v>0.9</v>
      </c>
      <c r="G368" s="558" t="s">
        <v>38</v>
      </c>
      <c r="H368" s="142" t="s">
        <f>=D365</f>
        <v>65</v>
      </c>
      <c r="I368" s="412">
        <f>=M367</f>
        <v>45976</v>
      </c>
      <c r="J368" s="412">
        <f>=I368+L368</f>
        <v>46066</v>
      </c>
      <c r="K368" s="412">
        <f>=J368</f>
        <v>46066</v>
      </c>
      <c r="L368" s="580">
        <v>90</v>
      </c>
      <c r="M368" s="414" t="s"/>
      <c r="N368" s="581" t="s"/>
      <c r="O368" s="127">
        <f>=IF(M368="",TODAY()-J368,M368-J368)</f>
        <v>83</v>
      </c>
      <c r="P368" s="433" t="s">
        <f>=IF(O368&gt;0,"逾期","正常")</f>
        <v>21</v>
      </c>
      <c r="Q368" s="582" t="s"/>
      <c r="R368" s="583" t="s"/>
    </row>
    <row r="369" spans="1:18">
      <c r="A369" s="543" t="s">
        <v>351</v>
      </c>
      <c r="B369" s="586" t="s">
        <v>32</v>
      </c>
      <c r="C369" s="545" t="s">
        <v>184</v>
      </c>
      <c r="D369" s="566" t="s">
        <v>17</v>
      </c>
      <c r="E369" s="566" t="s">
        <v>18</v>
      </c>
      <c r="F369" s="547">
        <v>45930</v>
      </c>
      <c r="G369" s="587" t="s">
        <v>19</v>
      </c>
      <c r="H369" s="588" t="s">
        <v>49</v>
      </c>
      <c r="I369" s="589">
        <f>=F369</f>
        <v>45930</v>
      </c>
      <c r="J369" s="590">
        <v>45948</v>
      </c>
      <c r="K369" s="590">
        <v>45945</v>
      </c>
      <c r="L369" s="591">
        <f>=J369-I369</f>
        <v>18</v>
      </c>
      <c r="M369" s="592">
        <v>45952</v>
      </c>
      <c r="N369" s="584">
        <f>=M369-I369</f>
        <v>22</v>
      </c>
      <c r="O369" s="118">
        <f>=IF(M369="",TODAY()-J369,M369-J369)</f>
        <v>4</v>
      </c>
      <c r="P369" s="593" t="s">
        <f>=IF(O369&gt;0,"逾期","正常")</f>
        <v>21</v>
      </c>
      <c r="Q369" s="585" t="s">
        <v>352</v>
      </c>
      <c r="R369" s="574" t="s"/>
    </row>
    <row r="370" spans="1:18">
      <c r="A370" s="551" t="s"/>
      <c r="B370" s="552" t="s"/>
      <c r="C370" s="553" t="s"/>
      <c r="D370" s="554" t="s">
        <v>57</v>
      </c>
      <c r="E370" s="575" t="s">
        <v>23</v>
      </c>
      <c r="F370" s="390">
        <f>=F371-F369</f>
        <v>40</v>
      </c>
      <c r="G370" s="403" t="s">
        <v>24</v>
      </c>
      <c r="H370" s="403" t="s">
        <v>50</v>
      </c>
      <c r="I370" s="404">
        <f>=M369</f>
        <v>45952</v>
      </c>
      <c r="J370" s="404">
        <f>=F371</f>
        <v>45970</v>
      </c>
      <c r="K370" s="404">
        <f>=J370</f>
        <v>45970</v>
      </c>
      <c r="L370" s="453">
        <f>=J370-I370</f>
        <v>18</v>
      </c>
      <c r="M370" s="406">
        <v>45980</v>
      </c>
      <c r="N370" s="467">
        <f>=M370-I370</f>
        <v>28</v>
      </c>
      <c r="O370" s="127">
        <f>=IF(M370="",TODAY()-J370,M370-J370)</f>
        <v>10</v>
      </c>
      <c r="P370" s="593" t="s">
        <f>=IF(O370&gt;0,"逾期","正常")</f>
        <v>21</v>
      </c>
      <c r="Q370" s="576" t="s">
        <v>339</v>
      </c>
      <c r="R370" s="577" t="s"/>
    </row>
    <row r="371" spans="1:18">
      <c r="A371" s="551" t="s"/>
      <c r="B371" s="552" t="s"/>
      <c r="C371" s="553" t="s"/>
      <c r="D371" s="575" t="s">
        <v>28</v>
      </c>
      <c r="E371" s="575" t="s">
        <v>29</v>
      </c>
      <c r="F371" s="404">
        <v>45970</v>
      </c>
      <c r="G371" s="467" t="s">
        <v>30</v>
      </c>
      <c r="H371" s="467" t="s">
        <v>31</v>
      </c>
      <c r="I371" s="400">
        <f>=M370</f>
        <v>45980</v>
      </c>
      <c r="J371" s="400">
        <f>=I371+L371</f>
        <v>45987</v>
      </c>
      <c r="K371" s="400">
        <f>=J371</f>
        <v>45987</v>
      </c>
      <c r="L371" s="594">
        <v>7</v>
      </c>
      <c r="M371" s="394">
        <v>45985</v>
      </c>
      <c r="N371" s="467">
        <f>=M371-I371</f>
        <v>5</v>
      </c>
      <c r="O371" s="127">
        <f>=IF(M371="",TODAY()-J371,M371-J371)</f>
        <v>-2</v>
      </c>
      <c r="P371" s="593" t="s">
        <f>=IF(O371&gt;0,"逾期","正常")</f>
        <v>32</v>
      </c>
      <c r="Q371" s="576" t="s"/>
      <c r="R371" s="577" t="s"/>
    </row>
    <row r="372" spans="1:18">
      <c r="A372" s="551" t="s"/>
      <c r="B372" s="552" t="s"/>
      <c r="C372" s="553" t="s"/>
      <c r="D372" s="575" t="s">
        <v>33</v>
      </c>
      <c r="E372" s="575" t="s">
        <v>34</v>
      </c>
      <c r="F372" s="136">
        <f>=IF(M370="",TODAY()-F369,M370-F369)</f>
        <v>50</v>
      </c>
      <c r="G372" s="403" t="s">
        <v>35</v>
      </c>
      <c r="H372" s="403" t="s">
        <v>203</v>
      </c>
      <c r="I372" s="404">
        <v>45985</v>
      </c>
      <c r="J372" s="404">
        <f>=I372+L372</f>
        <v>45999</v>
      </c>
      <c r="K372" s="404">
        <f>=J372</f>
        <v>45999</v>
      </c>
      <c r="L372" s="578">
        <v>14</v>
      </c>
      <c r="M372" s="406">
        <v>46031</v>
      </c>
      <c r="N372" s="467">
        <f>=M372-I372</f>
        <v>46</v>
      </c>
      <c r="O372" s="127">
        <f>=IF(M372="",TODAY()-J372,M372-J372)</f>
        <v>32</v>
      </c>
      <c r="P372" s="593" t="s">
        <f>=IF(O372&gt;0,"逾期","正常")</f>
        <v>21</v>
      </c>
      <c r="Q372" s="576" t="s">
        <v>353</v>
      </c>
      <c r="R372" s="577" t="s"/>
    </row>
    <row r="373" spans="1:18">
      <c r="A373" s="551" t="s"/>
      <c r="B373" s="552" t="s"/>
      <c r="C373" s="553" t="s"/>
      <c r="D373" s="579" t="s">
        <v>36</v>
      </c>
      <c r="E373" s="579" t="s">
        <v>37</v>
      </c>
      <c r="F373" s="557">
        <v>0.9</v>
      </c>
      <c r="G373" s="558" t="s">
        <v>38</v>
      </c>
      <c r="H373" s="595" t="s">
        <f>=D370</f>
        <v>57</v>
      </c>
      <c r="I373" s="412">
        <f>=M372</f>
        <v>46031</v>
      </c>
      <c r="J373" s="412">
        <f>=I373+L373</f>
        <v>46121</v>
      </c>
      <c r="K373" s="412">
        <f>=J373</f>
        <v>46121</v>
      </c>
      <c r="L373" s="580">
        <v>90</v>
      </c>
      <c r="M373" s="414" t="s"/>
      <c r="N373" s="581" t="s"/>
      <c r="O373" s="127">
        <f>=IF(M373="",TODAY()-J373,M373-J373)</f>
        <v>28</v>
      </c>
      <c r="P373" s="596" t="s">
        <f>=IF(O373&gt;0,"逾期","正常")</f>
        <v>21</v>
      </c>
      <c r="Q373" s="582" t="s"/>
      <c r="R373" s="583" t="s"/>
    </row>
    <row r="374" spans="1:18">
      <c r="A374" s="543" t="s">
        <v>354</v>
      </c>
      <c r="B374" s="544" t="s">
        <v>32</v>
      </c>
      <c r="C374" s="545" t="s">
        <v>89</v>
      </c>
      <c r="D374" s="566" t="s">
        <v>17</v>
      </c>
      <c r="E374" s="566" t="s">
        <v>18</v>
      </c>
      <c r="F374" s="547">
        <v>45930</v>
      </c>
      <c r="G374" s="548" t="s">
        <v>19</v>
      </c>
      <c r="H374" s="509" t="s">
        <v>309</v>
      </c>
      <c r="I374" s="119">
        <f>=F374</f>
        <v>45930</v>
      </c>
      <c r="J374" s="549">
        <v>45948</v>
      </c>
      <c r="K374" s="549">
        <v>45945</v>
      </c>
      <c r="L374" s="180">
        <f>=J374-I374</f>
        <v>18</v>
      </c>
      <c r="M374" s="550">
        <v>45945</v>
      </c>
      <c r="N374" s="584">
        <f>=M374-I374</f>
        <v>15</v>
      </c>
      <c r="O374" s="181">
        <f>=IF(M374="",TODAY()-J374,M374-J374)</f>
        <v>-3</v>
      </c>
      <c r="P374" s="131" t="s">
        <f>=IF(O374&gt;0,"逾期","正常")</f>
        <v>32</v>
      </c>
      <c r="Q374" s="585" t="s"/>
      <c r="R374" s="574" t="s"/>
    </row>
    <row r="375" spans="1:18">
      <c r="A375" s="551" t="s"/>
      <c r="B375" s="552" t="s"/>
      <c r="C375" s="553" t="s"/>
      <c r="D375" s="554" t="s">
        <v>72</v>
      </c>
      <c r="E375" s="575" t="s">
        <v>23</v>
      </c>
      <c r="F375" s="390">
        <f>=F376-F374</f>
        <v>40</v>
      </c>
      <c r="G375" s="488" t="s">
        <v>24</v>
      </c>
      <c r="H375" s="488" t="s">
        <v>50</v>
      </c>
      <c r="I375" s="186">
        <f>=M374</f>
        <v>45945</v>
      </c>
      <c r="J375" s="186">
        <f>=F376</f>
        <v>45970</v>
      </c>
      <c r="K375" s="186">
        <f>=J375</f>
        <v>45970</v>
      </c>
      <c r="L375" s="489">
        <f>=J375-I375</f>
        <v>25</v>
      </c>
      <c r="M375" s="428" t="s"/>
      <c r="N375" s="467" t="s"/>
      <c r="O375" s="127">
        <f>=IF(M375="",TODAY()-J375,M375-J375)</f>
        <v>179</v>
      </c>
      <c r="P375" s="131" t="s">
        <f>=IF(O375&gt;0,"逾期","正常")</f>
        <v>21</v>
      </c>
      <c r="Q375" s="576" t="s">
        <v>355</v>
      </c>
      <c r="R375" s="577" t="s"/>
    </row>
    <row r="376" spans="1:18">
      <c r="A376" s="551" t="s"/>
      <c r="B376" s="552" t="s"/>
      <c r="C376" s="553" t="s"/>
      <c r="D376" s="575" t="s">
        <v>28</v>
      </c>
      <c r="E376" s="575" t="s">
        <v>29</v>
      </c>
      <c r="F376" s="404">
        <v>45970</v>
      </c>
      <c r="G376" s="467" t="s">
        <v>30</v>
      </c>
      <c r="H376" s="467" t="s">
        <v>31</v>
      </c>
      <c r="I376" s="400" t="s"/>
      <c r="J376" s="400" t="s"/>
      <c r="K376" s="400" t="s"/>
      <c r="L376" s="578">
        <v>7</v>
      </c>
      <c r="M376" s="394" t="s"/>
      <c r="N376" s="481" t="s"/>
      <c r="O376" s="467" t="s"/>
      <c r="P376" s="131" t="s">
        <f>=IF(O376&gt;0,"逾期","正常")</f>
        <v>32</v>
      </c>
      <c r="Q376" s="576" t="s"/>
      <c r="R376" s="577" t="s"/>
    </row>
    <row r="377" spans="1:18">
      <c r="A377" s="551" t="s"/>
      <c r="B377" s="552" t="s"/>
      <c r="C377" s="553" t="s"/>
      <c r="D377" s="575" t="s">
        <v>212</v>
      </c>
      <c r="E377" s="575" t="s">
        <v>34</v>
      </c>
      <c r="F377" s="136">
        <f>=IF(M375="",TODAY()-F374,M375-F374)</f>
        <v>220</v>
      </c>
      <c r="G377" s="467" t="s">
        <v>35</v>
      </c>
      <c r="H377" s="467" t="s"/>
      <c r="I377" s="400" t="s"/>
      <c r="J377" s="400" t="s"/>
      <c r="K377" s="400" t="s"/>
      <c r="L377" s="475" t="s"/>
      <c r="M377" s="394" t="s"/>
      <c r="N377" s="467" t="s"/>
      <c r="O377" s="467" t="s"/>
      <c r="P377" s="131" t="s">
        <f>=IF(O377&gt;0,"逾期","正常")</f>
        <v>32</v>
      </c>
      <c r="Q377" s="576" t="s"/>
      <c r="R377" s="577" t="s"/>
    </row>
    <row r="378" spans="1:18">
      <c r="A378" s="551" t="s"/>
      <c r="B378" s="552" t="s"/>
      <c r="C378" s="553" t="s"/>
      <c r="D378" s="579" t="s">
        <v>36</v>
      </c>
      <c r="E378" s="579" t="s">
        <v>37</v>
      </c>
      <c r="F378" s="557">
        <v>0.5</v>
      </c>
      <c r="G378" s="565" t="s">
        <v>38</v>
      </c>
      <c r="H378" s="171" t="s">
        <f>=D375</f>
        <v>72</v>
      </c>
      <c r="I378" s="430" t="s"/>
      <c r="J378" s="430" t="s"/>
      <c r="K378" s="430" t="s"/>
      <c r="L378" s="597">
        <v>90</v>
      </c>
      <c r="M378" s="432" t="s"/>
      <c r="N378" s="581" t="s"/>
      <c r="O378" s="467" t="s"/>
      <c r="P378" s="433" t="s">
        <f>=IF(O378&gt;0,"逾期","正常")</f>
        <v>32</v>
      </c>
      <c r="Q378" s="582" t="s"/>
      <c r="R378" s="583" t="s"/>
    </row>
    <row r="379" spans="1:18">
      <c r="A379" s="543" t="s">
        <v>356</v>
      </c>
      <c r="B379" s="544" t="s">
        <v>32</v>
      </c>
      <c r="C379" s="545" t="s">
        <v>108</v>
      </c>
      <c r="D379" s="566" t="s">
        <v>17</v>
      </c>
      <c r="E379" s="566" t="s">
        <v>18</v>
      </c>
      <c r="F379" s="547">
        <v>45941</v>
      </c>
      <c r="G379" s="548" t="s">
        <v>19</v>
      </c>
      <c r="H379" s="509" t="s">
        <v>49</v>
      </c>
      <c r="I379" s="119">
        <f>=F379</f>
        <v>45941</v>
      </c>
      <c r="J379" s="549">
        <v>45953</v>
      </c>
      <c r="K379" s="549">
        <v>45949</v>
      </c>
      <c r="L379" s="180">
        <f>=J379-I379</f>
        <v>12</v>
      </c>
      <c r="M379" s="550">
        <v>45947</v>
      </c>
      <c r="N379" s="584">
        <f>=M379-I379</f>
        <v>6</v>
      </c>
      <c r="O379" s="181">
        <f>=IF(M379="",TODAY()-J379,M379-J379)</f>
        <v>-6</v>
      </c>
      <c r="P379" s="131" t="s">
        <f>=IF(O379&gt;0,"逾期","正常")</f>
        <v>32</v>
      </c>
      <c r="Q379" s="585" t="s"/>
      <c r="R379" s="574" t="s"/>
    </row>
    <row r="380" spans="1:18">
      <c r="A380" s="551" t="s"/>
      <c r="B380" s="552" t="s"/>
      <c r="C380" s="553" t="s"/>
      <c r="D380" s="554" t="s">
        <v>57</v>
      </c>
      <c r="E380" s="575" t="s">
        <v>23</v>
      </c>
      <c r="F380" s="390">
        <f>=F381-F379</f>
        <v>35</v>
      </c>
      <c r="G380" s="479" t="s">
        <v>24</v>
      </c>
      <c r="H380" s="479" t="s">
        <v>50</v>
      </c>
      <c r="I380" s="134">
        <f>=M379</f>
        <v>45947</v>
      </c>
      <c r="J380" s="134">
        <f>=F381</f>
        <v>45976</v>
      </c>
      <c r="K380" s="134">
        <f>=J380</f>
        <v>45976</v>
      </c>
      <c r="L380" s="492">
        <f>=J380-I380</f>
        <v>29</v>
      </c>
      <c r="M380" s="406">
        <v>45970</v>
      </c>
      <c r="N380" s="467">
        <f>=M380-I380</f>
        <v>23</v>
      </c>
      <c r="O380" s="127">
        <f>=IF(M380="",TODAY()-J380,M380-J380)</f>
        <v>-6</v>
      </c>
      <c r="P380" s="131" t="s">
        <f>=IF(O380&gt;0,"逾期","正常")</f>
        <v>32</v>
      </c>
      <c r="Q380" s="576" t="s"/>
      <c r="R380" s="577" t="s"/>
    </row>
    <row r="381" spans="1:18">
      <c r="A381" s="551" t="s"/>
      <c r="B381" s="552" t="s"/>
      <c r="C381" s="553" t="s"/>
      <c r="D381" s="575" t="s">
        <v>28</v>
      </c>
      <c r="E381" s="575" t="s">
        <v>29</v>
      </c>
      <c r="F381" s="404">
        <v>45976</v>
      </c>
      <c r="G381" s="403" t="s">
        <v>30</v>
      </c>
      <c r="H381" s="403" t="s">
        <v>31</v>
      </c>
      <c r="I381" s="404">
        <f>=M380</f>
        <v>45970</v>
      </c>
      <c r="J381" s="404">
        <f>=I381+L381</f>
        <v>45977</v>
      </c>
      <c r="K381" s="404">
        <f>=J381</f>
        <v>45977</v>
      </c>
      <c r="L381" s="578">
        <v>7</v>
      </c>
      <c r="M381" s="406">
        <v>45977</v>
      </c>
      <c r="N381" s="467">
        <f>=M381-I381</f>
        <v>7</v>
      </c>
      <c r="O381" s="127">
        <f>=IF(M381="",TODAY()-J381,M381-J381)</f>
        <v>0</v>
      </c>
      <c r="P381" s="131" t="s">
        <f>=IF(O381&gt;0,"逾期","正常")</f>
        <v>32</v>
      </c>
      <c r="Q381" s="576" t="s"/>
      <c r="R381" s="577" t="s"/>
    </row>
    <row r="382" spans="1:18">
      <c r="A382" s="551" t="s"/>
      <c r="B382" s="552" t="s"/>
      <c r="C382" s="553" t="s"/>
      <c r="D382" s="575" t="s">
        <v>33</v>
      </c>
      <c r="E382" s="575" t="s">
        <v>34</v>
      </c>
      <c r="F382" s="136">
        <f>=IF(M380="",TODAY()-F379,M380-F379)</f>
        <v>29</v>
      </c>
      <c r="G382" s="403" t="s">
        <v>35</v>
      </c>
      <c r="H382" s="403" t="s">
        <v>115</v>
      </c>
      <c r="I382" s="404">
        <f>=M381</f>
        <v>45977</v>
      </c>
      <c r="J382" s="404">
        <f>=I382+L382</f>
        <v>45985</v>
      </c>
      <c r="K382" s="404">
        <f>=J382</f>
        <v>45985</v>
      </c>
      <c r="L382" s="578">
        <v>8</v>
      </c>
      <c r="M382" s="406">
        <v>46008</v>
      </c>
      <c r="N382" s="467">
        <f>=M382-I382</f>
        <v>31</v>
      </c>
      <c r="O382" s="127">
        <f>=IF(M382="",TODAY()-J382,M382-J382)</f>
        <v>23</v>
      </c>
      <c r="P382" s="131" t="s">
        <f>=IF(O382&gt;0,"逾期","正常")</f>
        <v>21</v>
      </c>
      <c r="Q382" s="576" t="s">
        <v>357</v>
      </c>
      <c r="R382" s="577" t="s"/>
    </row>
    <row r="383" spans="1:18">
      <c r="A383" s="551" t="s"/>
      <c r="B383" s="552" t="s"/>
      <c r="C383" s="553" t="s"/>
      <c r="D383" s="579" t="s">
        <v>36</v>
      </c>
      <c r="E383" s="579" t="s">
        <v>37</v>
      </c>
      <c r="F383" s="557">
        <v>0.9</v>
      </c>
      <c r="G383" s="558" t="s">
        <v>38</v>
      </c>
      <c r="H383" s="142" t="s">
        <f>=D380</f>
        <v>57</v>
      </c>
      <c r="I383" s="412">
        <f>=M382</f>
        <v>46008</v>
      </c>
      <c r="J383" s="412">
        <f>=I383+L383</f>
        <v>46098</v>
      </c>
      <c r="K383" s="412">
        <f>=J383</f>
        <v>46098</v>
      </c>
      <c r="L383" s="580">
        <v>90</v>
      </c>
      <c r="M383" s="414" t="s"/>
      <c r="N383" s="581" t="s"/>
      <c r="O383" s="127">
        <f>=IF(M383="",TODAY()-J383,M383-J383)</f>
        <v>44</v>
      </c>
      <c r="P383" s="433" t="s">
        <f>=IF(O383&gt;0,"逾期","正常")</f>
        <v>21</v>
      </c>
      <c r="Q383" s="582" t="s"/>
      <c r="R383" s="583" t="s"/>
    </row>
    <row r="384" spans="1:18">
      <c r="A384" s="543" t="s">
        <v>358</v>
      </c>
      <c r="B384" s="544" t="s">
        <v>32</v>
      </c>
      <c r="C384" s="545" t="s">
        <v>240</v>
      </c>
      <c r="D384" s="566" t="s">
        <v>17</v>
      </c>
      <c r="E384" s="566" t="s">
        <v>18</v>
      </c>
      <c r="F384" s="547">
        <v>45943</v>
      </c>
      <c r="G384" s="548" t="s">
        <v>19</v>
      </c>
      <c r="H384" s="509" t="s">
        <v>49</v>
      </c>
      <c r="I384" s="119">
        <f>=F384</f>
        <v>45943</v>
      </c>
      <c r="J384" s="549">
        <v>45953</v>
      </c>
      <c r="K384" s="549">
        <v>45951</v>
      </c>
      <c r="L384" s="180">
        <f>=J384-I384</f>
        <v>10</v>
      </c>
      <c r="M384" s="550">
        <v>45957</v>
      </c>
      <c r="N384" s="584">
        <f>=M384-I384</f>
        <v>14</v>
      </c>
      <c r="O384" s="118">
        <f>=IF(M384="",TODAY()-J384,M384-J384)</f>
        <v>4</v>
      </c>
      <c r="P384" s="131" t="s">
        <f>=IF(O384&gt;0,"逾期","正常")</f>
        <v>21</v>
      </c>
      <c r="Q384" s="585" t="s">
        <v>359</v>
      </c>
      <c r="R384" s="574" t="s"/>
    </row>
    <row r="385" spans="1:18">
      <c r="A385" s="551" t="s"/>
      <c r="B385" s="552" t="s"/>
      <c r="C385" s="553" t="s"/>
      <c r="D385" s="554" t="s">
        <v>57</v>
      </c>
      <c r="E385" s="575" t="s">
        <v>23</v>
      </c>
      <c r="F385" s="390">
        <f>=F386-F384</f>
        <v>30</v>
      </c>
      <c r="G385" s="479" t="s">
        <v>24</v>
      </c>
      <c r="H385" s="479" t="s">
        <v>25</v>
      </c>
      <c r="I385" s="134">
        <f>=M384</f>
        <v>45957</v>
      </c>
      <c r="J385" s="134">
        <f>=F386</f>
        <v>45973</v>
      </c>
      <c r="K385" s="134">
        <f>=J385</f>
        <v>45973</v>
      </c>
      <c r="L385" s="492">
        <f>=J385-I385</f>
        <v>16</v>
      </c>
      <c r="M385" s="406">
        <v>45965</v>
      </c>
      <c r="N385" s="467">
        <f>=M385-I385</f>
        <v>8</v>
      </c>
      <c r="O385" s="127">
        <f>=IF(M385="",TODAY()-J385,M385-J385)</f>
        <v>-8</v>
      </c>
      <c r="P385" s="131" t="s">
        <f>=IF(O385&gt;0,"逾期","正常")</f>
        <v>32</v>
      </c>
      <c r="Q385" s="576" t="s"/>
      <c r="R385" s="577" t="s"/>
    </row>
    <row r="386" spans="1:18">
      <c r="A386" s="551" t="s"/>
      <c r="B386" s="552" t="s"/>
      <c r="C386" s="553" t="s"/>
      <c r="D386" s="575" t="s">
        <v>28</v>
      </c>
      <c r="E386" s="575" t="s">
        <v>29</v>
      </c>
      <c r="F386" s="404">
        <v>45973</v>
      </c>
      <c r="G386" s="403" t="s">
        <v>30</v>
      </c>
      <c r="H386" s="403" t="s">
        <v>31</v>
      </c>
      <c r="I386" s="404">
        <f>=M385</f>
        <v>45965</v>
      </c>
      <c r="J386" s="404">
        <f>=I386+L386</f>
        <v>45972</v>
      </c>
      <c r="K386" s="404">
        <f>=J386</f>
        <v>45972</v>
      </c>
      <c r="L386" s="578">
        <v>7</v>
      </c>
      <c r="M386" s="406">
        <v>45974</v>
      </c>
      <c r="N386" s="467">
        <f>=M386-I386</f>
        <v>9</v>
      </c>
      <c r="O386" s="127">
        <f>=IF(M386="",TODAY()-J386,M386-J386)</f>
        <v>2</v>
      </c>
      <c r="P386" s="131" t="s">
        <f>=IF(O386&gt;0,"逾期","正常")</f>
        <v>21</v>
      </c>
      <c r="Q386" s="576" t="s">
        <v>360</v>
      </c>
      <c r="R386" s="577" t="s"/>
    </row>
    <row r="387" spans="1:18">
      <c r="A387" s="551" t="s"/>
      <c r="B387" s="552" t="s"/>
      <c r="C387" s="553" t="s"/>
      <c r="D387" s="575" t="s">
        <v>51</v>
      </c>
      <c r="E387" s="575" t="s">
        <v>34</v>
      </c>
      <c r="F387" s="136">
        <f>=IF(M385="",TODAY()-F384,M385-F384)</f>
        <v>22</v>
      </c>
      <c r="G387" s="403" t="s">
        <v>35</v>
      </c>
      <c r="H387" s="403" t="s">
        <v>124</v>
      </c>
      <c r="I387" s="404">
        <f>=M386</f>
        <v>45974</v>
      </c>
      <c r="J387" s="404">
        <f>=I387+L387</f>
        <v>45984</v>
      </c>
      <c r="K387" s="404">
        <f>=J387</f>
        <v>45984</v>
      </c>
      <c r="L387" s="578">
        <v>10</v>
      </c>
      <c r="M387" s="406">
        <v>45989</v>
      </c>
      <c r="N387" s="467">
        <f>=M387-I387</f>
        <v>15</v>
      </c>
      <c r="O387" s="127">
        <f>=IF(M387="",TODAY()-J387,M387-J387)</f>
        <v>5</v>
      </c>
      <c r="P387" s="131" t="s">
        <f>=IF(O387&gt;0,"逾期","正常")</f>
        <v>21</v>
      </c>
      <c r="Q387" s="576" t="s">
        <v>361</v>
      </c>
      <c r="R387" s="577" t="s"/>
    </row>
    <row r="388" spans="1:18">
      <c r="A388" s="551" t="s"/>
      <c r="B388" s="552" t="s"/>
      <c r="C388" s="553" t="s"/>
      <c r="D388" s="579" t="s">
        <v>36</v>
      </c>
      <c r="E388" s="579" t="s">
        <v>37</v>
      </c>
      <c r="F388" s="557">
        <v>0.5</v>
      </c>
      <c r="G388" s="558" t="s">
        <v>38</v>
      </c>
      <c r="H388" s="142" t="s">
        <f>=D385</f>
        <v>57</v>
      </c>
      <c r="I388" s="412">
        <f>=M387</f>
        <v>45989</v>
      </c>
      <c r="J388" s="412">
        <f>=I388+L388</f>
        <v>46079</v>
      </c>
      <c r="K388" s="412">
        <f>=J388</f>
        <v>46079</v>
      </c>
      <c r="L388" s="580">
        <v>90</v>
      </c>
      <c r="M388" s="414" t="s"/>
      <c r="N388" s="581" t="s"/>
      <c r="O388" s="127">
        <f>=IF(M388="",TODAY()-J388,M388-J388)</f>
        <v>63</v>
      </c>
      <c r="P388" s="433" t="s">
        <f>=IF(O388&gt;0,"逾期","正常")</f>
        <v>21</v>
      </c>
      <c r="Q388" s="582" t="s"/>
      <c r="R388" s="583" t="s"/>
    </row>
    <row r="389" spans="1:18">
      <c r="A389" s="543" t="s">
        <v>362</v>
      </c>
      <c r="B389" s="544" t="s">
        <v>32</v>
      </c>
      <c r="C389" s="545" t="s">
        <v>240</v>
      </c>
      <c r="D389" s="566" t="s">
        <v>17</v>
      </c>
      <c r="E389" s="566" t="s">
        <v>18</v>
      </c>
      <c r="F389" s="547">
        <v>45943</v>
      </c>
      <c r="G389" s="548" t="s">
        <v>19</v>
      </c>
      <c r="H389" s="509" t="s">
        <v>41</v>
      </c>
      <c r="I389" s="119">
        <f>=F389</f>
        <v>45943</v>
      </c>
      <c r="J389" s="549">
        <v>45953</v>
      </c>
      <c r="K389" s="549">
        <v>45951</v>
      </c>
      <c r="L389" s="180">
        <f>=J389-I389</f>
        <v>10</v>
      </c>
      <c r="M389" s="550">
        <v>45947</v>
      </c>
      <c r="N389" s="584">
        <f>=M389-I389</f>
        <v>4</v>
      </c>
      <c r="O389" s="181">
        <f>=IF(M389="",TODAY()-J389,M389-J389)</f>
        <v>-6</v>
      </c>
      <c r="P389" s="131" t="s">
        <f>=IF(O389&gt;0,"逾期","正常")</f>
        <v>32</v>
      </c>
      <c r="Q389" s="585" t="s"/>
      <c r="R389" s="574" t="s"/>
    </row>
    <row r="390" spans="1:18">
      <c r="A390" s="551" t="s"/>
      <c r="B390" s="552" t="s"/>
      <c r="C390" s="553" t="s"/>
      <c r="D390" s="554" t="s">
        <v>65</v>
      </c>
      <c r="E390" s="575" t="s">
        <v>23</v>
      </c>
      <c r="F390" s="390">
        <f>=F391-F389</f>
        <v>30</v>
      </c>
      <c r="G390" s="479" t="s">
        <v>24</v>
      </c>
      <c r="H390" s="479" t="s">
        <v>25</v>
      </c>
      <c r="I390" s="134">
        <f>=M389</f>
        <v>45947</v>
      </c>
      <c r="J390" s="134">
        <f>=F391</f>
        <v>45973</v>
      </c>
      <c r="K390" s="134">
        <f>=J390</f>
        <v>45973</v>
      </c>
      <c r="L390" s="492">
        <f>=J390-I390</f>
        <v>26</v>
      </c>
      <c r="M390" s="406">
        <v>45964</v>
      </c>
      <c r="N390" s="467">
        <f>=M390-I390</f>
        <v>17</v>
      </c>
      <c r="O390" s="127">
        <f>=IF(M390="",TODAY()-J390,M390-J390)</f>
        <v>-9</v>
      </c>
      <c r="P390" s="131" t="s">
        <f>=IF(O390&gt;0,"逾期","正常")</f>
        <v>32</v>
      </c>
      <c r="Q390" s="576" t="s"/>
      <c r="R390" s="577" t="s"/>
    </row>
    <row r="391" spans="1:18">
      <c r="A391" s="551" t="s"/>
      <c r="B391" s="552" t="s"/>
      <c r="C391" s="553" t="s"/>
      <c r="D391" s="575" t="s">
        <v>28</v>
      </c>
      <c r="E391" s="575" t="s">
        <v>29</v>
      </c>
      <c r="F391" s="404">
        <v>45973</v>
      </c>
      <c r="G391" s="403" t="s">
        <v>30</v>
      </c>
      <c r="H391" s="403" t="s">
        <v>31</v>
      </c>
      <c r="I391" s="404">
        <f>=M390</f>
        <v>45964</v>
      </c>
      <c r="J391" s="404">
        <f>=I391+L391</f>
        <v>45971</v>
      </c>
      <c r="K391" s="404">
        <f>=J391</f>
        <v>45971</v>
      </c>
      <c r="L391" s="578">
        <v>7</v>
      </c>
      <c r="M391" s="406">
        <v>45988</v>
      </c>
      <c r="N391" s="467">
        <f>=M391-I391</f>
        <v>24</v>
      </c>
      <c r="O391" s="127">
        <f>=IF(M391="",TODAY()-J391,M391-J391)</f>
        <v>17</v>
      </c>
      <c r="P391" s="131" t="s">
        <f>=IF(O391&gt;0,"逾期","正常")</f>
        <v>21</v>
      </c>
      <c r="Q391" s="576" t="s">
        <v>363</v>
      </c>
      <c r="R391" s="577" t="s"/>
    </row>
    <row r="392" spans="1:18">
      <c r="A392" s="551" t="s"/>
      <c r="B392" s="552" t="s"/>
      <c r="C392" s="553" t="s"/>
      <c r="D392" s="575" t="s">
        <v>51</v>
      </c>
      <c r="E392" s="575" t="s">
        <v>34</v>
      </c>
      <c r="F392" s="136">
        <f>=IF(M390="",TODAY()-F389,M390-F389)</f>
        <v>21</v>
      </c>
      <c r="G392" s="403" t="s">
        <v>35</v>
      </c>
      <c r="H392" s="403" t="s">
        <v>275</v>
      </c>
      <c r="I392" s="404">
        <f>=M391</f>
        <v>45988</v>
      </c>
      <c r="J392" s="404">
        <f>=I392+L392</f>
        <v>45995</v>
      </c>
      <c r="K392" s="404">
        <f>=J392</f>
        <v>45995</v>
      </c>
      <c r="L392" s="578">
        <v>7</v>
      </c>
      <c r="M392" s="406">
        <v>45999</v>
      </c>
      <c r="N392" s="467">
        <f>=M392-I392</f>
        <v>11</v>
      </c>
      <c r="O392" s="127">
        <f>=IF(M392="",TODAY()-J392,M392-J392)</f>
        <v>4</v>
      </c>
      <c r="P392" s="131" t="s">
        <f>=IF(O392&gt;0,"逾期","正常")</f>
        <v>21</v>
      </c>
      <c r="Q392" s="576" t="s">
        <v>364</v>
      </c>
      <c r="R392" s="577" t="s"/>
    </row>
    <row r="393" spans="1:18">
      <c r="A393" s="551" t="s"/>
      <c r="B393" s="552" t="s"/>
      <c r="C393" s="553" t="s"/>
      <c r="D393" s="579" t="s">
        <v>36</v>
      </c>
      <c r="E393" s="579" t="s">
        <v>37</v>
      </c>
      <c r="F393" s="557">
        <v>0.9</v>
      </c>
      <c r="G393" s="558" t="s">
        <v>38</v>
      </c>
      <c r="H393" s="142" t="s">
        <f>=D390</f>
        <v>65</v>
      </c>
      <c r="I393" s="412">
        <f>=M392</f>
        <v>45999</v>
      </c>
      <c r="J393" s="412">
        <f>=I393+L393</f>
        <v>46089</v>
      </c>
      <c r="K393" s="412">
        <f>=J393</f>
        <v>46089</v>
      </c>
      <c r="L393" s="580">
        <v>90</v>
      </c>
      <c r="M393" s="414" t="s"/>
      <c r="N393" s="581" t="s"/>
      <c r="O393" s="127">
        <f>=IF(M393="",TODAY()-J393,M393-J393)</f>
        <v>53</v>
      </c>
      <c r="P393" s="433" t="s">
        <f>=IF(O393&gt;0,"逾期","正常")</f>
        <v>21</v>
      </c>
      <c r="Q393" s="582" t="s"/>
      <c r="R393" s="583" t="s"/>
    </row>
    <row r="394" spans="1:18">
      <c r="A394" s="543" t="s">
        <v>365</v>
      </c>
      <c r="B394" s="544" t="s">
        <v>32</v>
      </c>
      <c r="C394" s="545" t="s">
        <v>366</v>
      </c>
      <c r="D394" s="566" t="s">
        <v>17</v>
      </c>
      <c r="E394" s="566" t="s">
        <v>18</v>
      </c>
      <c r="F394" s="547">
        <v>45946</v>
      </c>
      <c r="G394" s="548" t="s">
        <v>19</v>
      </c>
      <c r="H394" s="509" t="s">
        <v>63</v>
      </c>
      <c r="I394" s="119">
        <f>=F394</f>
        <v>45946</v>
      </c>
      <c r="J394" s="549">
        <v>45956</v>
      </c>
      <c r="K394" s="549">
        <v>45954</v>
      </c>
      <c r="L394" s="180">
        <f>=J394-I394</f>
        <v>10</v>
      </c>
      <c r="M394" s="550">
        <v>45951</v>
      </c>
      <c r="N394" s="584">
        <f>=M394-I394</f>
        <v>5</v>
      </c>
      <c r="O394" s="181">
        <f>=IF(M394="",TODAY()-J394,M394-J394)</f>
        <v>-5</v>
      </c>
      <c r="P394" s="131" t="s">
        <f>=IF(O394&gt;0,"逾期","正常")</f>
        <v>32</v>
      </c>
      <c r="Q394" s="585" t="s"/>
      <c r="R394" s="574" t="s"/>
    </row>
    <row r="395" spans="1:18">
      <c r="A395" s="551" t="s"/>
      <c r="B395" s="552" t="s"/>
      <c r="C395" s="553" t="s"/>
      <c r="D395" s="534" t="s">
        <v>72</v>
      </c>
      <c r="E395" s="575" t="s">
        <v>23</v>
      </c>
      <c r="F395" s="390">
        <f>=F396-F394</f>
        <v>35</v>
      </c>
      <c r="G395" s="479" t="s">
        <v>24</v>
      </c>
      <c r="H395" s="479" t="s">
        <v>50</v>
      </c>
      <c r="I395" s="134">
        <f>=M394</f>
        <v>45951</v>
      </c>
      <c r="J395" s="134">
        <f>=F396</f>
        <v>45981</v>
      </c>
      <c r="K395" s="134">
        <f>=J395</f>
        <v>45981</v>
      </c>
      <c r="L395" s="492">
        <f>=J395-I395</f>
        <v>30</v>
      </c>
      <c r="M395" s="406">
        <v>45983</v>
      </c>
      <c r="N395" s="467">
        <f>=M395-I395</f>
        <v>32</v>
      </c>
      <c r="O395" s="127">
        <f>=IF(M395="",TODAY()-J395,M395-J395)</f>
        <v>2</v>
      </c>
      <c r="P395" s="131" t="s">
        <f>=IF(O395&gt;0,"逾期","正常")</f>
        <v>21</v>
      </c>
      <c r="Q395" s="576" t="s">
        <v>367</v>
      </c>
      <c r="R395" s="577" t="s"/>
    </row>
    <row r="396" spans="1:18">
      <c r="A396" s="551" t="s"/>
      <c r="B396" s="552" t="s"/>
      <c r="C396" s="553" t="s"/>
      <c r="D396" s="575" t="s">
        <v>28</v>
      </c>
      <c r="E396" s="575" t="s">
        <v>29</v>
      </c>
      <c r="F396" s="404">
        <v>45981</v>
      </c>
      <c r="G396" s="467" t="s">
        <v>30</v>
      </c>
      <c r="H396" s="467" t="s">
        <v>31</v>
      </c>
      <c r="I396" s="400">
        <f>=M395</f>
        <v>45983</v>
      </c>
      <c r="J396" s="400">
        <f>=I396+L396</f>
        <v>45990</v>
      </c>
      <c r="K396" s="400">
        <f>=J396</f>
        <v>45990</v>
      </c>
      <c r="L396" s="578">
        <v>7</v>
      </c>
      <c r="M396" s="394">
        <v>45989</v>
      </c>
      <c r="N396" s="467">
        <f>=M396-I396</f>
        <v>6</v>
      </c>
      <c r="O396" s="127">
        <f>=IF(M396="",TODAY()-J396,M396-J396)</f>
        <v>-1</v>
      </c>
      <c r="P396" s="131" t="s">
        <f>=IF(O396&gt;0,"逾期","正常")</f>
        <v>32</v>
      </c>
      <c r="Q396" s="576" t="s"/>
      <c r="R396" s="577" t="s"/>
    </row>
    <row r="397" spans="1:18">
      <c r="A397" s="551" t="s"/>
      <c r="B397" s="552" t="s"/>
      <c r="C397" s="553" t="s"/>
      <c r="D397" s="559" t="s">
        <v>46</v>
      </c>
      <c r="E397" s="575" t="s">
        <v>34</v>
      </c>
      <c r="F397" s="136">
        <f>=IF(M395="",TODAY()-F394,M395-F394)</f>
        <v>37</v>
      </c>
      <c r="G397" s="403" t="s">
        <v>35</v>
      </c>
      <c r="H397" s="403" t="s">
        <v>143</v>
      </c>
      <c r="I397" s="404">
        <f>=M396</f>
        <v>45989</v>
      </c>
      <c r="J397" s="404">
        <f>=I397+L397</f>
        <v>46009</v>
      </c>
      <c r="K397" s="404">
        <f>=J397</f>
        <v>46009</v>
      </c>
      <c r="L397" s="578">
        <v>20</v>
      </c>
      <c r="M397" s="406">
        <v>45999</v>
      </c>
      <c r="N397" s="467">
        <f>=M397-I397</f>
        <v>10</v>
      </c>
      <c r="O397" s="127">
        <f>=IF(M397="",TODAY()-J397,M397-J397)</f>
        <v>-10</v>
      </c>
      <c r="P397" s="131" t="s">
        <f>=IF(O397&gt;0,"逾期","正常")</f>
        <v>32</v>
      </c>
      <c r="Q397" s="576" t="s"/>
      <c r="R397" s="577" t="s"/>
    </row>
    <row r="398" spans="1:18">
      <c r="A398" s="551" t="s"/>
      <c r="B398" s="552" t="s"/>
      <c r="C398" s="553" t="s"/>
      <c r="D398" s="579" t="s">
        <v>36</v>
      </c>
      <c r="E398" s="579" t="s">
        <v>37</v>
      </c>
      <c r="F398" s="557">
        <v>0.9</v>
      </c>
      <c r="G398" s="558" t="s">
        <v>38</v>
      </c>
      <c r="H398" s="142" t="s">
        <f>=D395</f>
        <v>72</v>
      </c>
      <c r="I398" s="412">
        <f>=M397</f>
        <v>45999</v>
      </c>
      <c r="J398" s="412">
        <f>=I398+L398</f>
        <v>46089</v>
      </c>
      <c r="K398" s="412">
        <f>=J398</f>
        <v>46089</v>
      </c>
      <c r="L398" s="580">
        <v>90</v>
      </c>
      <c r="M398" s="414" t="s"/>
      <c r="N398" s="581" t="s"/>
      <c r="O398" s="127">
        <f>=IF(M398="",TODAY()-J398,M398-J398)</f>
        <v>53</v>
      </c>
      <c r="P398" s="433" t="s">
        <f>=IF(O398&gt;0,"逾期","正常")</f>
        <v>21</v>
      </c>
      <c r="Q398" s="582" t="s"/>
      <c r="R398" s="583" t="s"/>
    </row>
    <row r="399" spans="1:18">
      <c r="A399" s="543" t="s">
        <v>368</v>
      </c>
      <c r="B399" s="544" t="s">
        <v>32</v>
      </c>
      <c r="C399" s="545" t="s">
        <v>89</v>
      </c>
      <c r="D399" s="566" t="s">
        <v>17</v>
      </c>
      <c r="E399" s="566" t="s">
        <v>18</v>
      </c>
      <c r="F399" s="547">
        <v>45952</v>
      </c>
      <c r="G399" s="548" t="s">
        <v>19</v>
      </c>
      <c r="H399" s="509" t="s">
        <v>49</v>
      </c>
      <c r="I399" s="119">
        <f>=F399</f>
        <v>45952</v>
      </c>
      <c r="J399" s="549">
        <v>45967</v>
      </c>
      <c r="K399" s="549">
        <v>45962</v>
      </c>
      <c r="L399" s="180">
        <f>=J399-I399</f>
        <v>15</v>
      </c>
      <c r="M399" s="550">
        <v>45958</v>
      </c>
      <c r="N399" s="584">
        <f>=M399-I399</f>
        <v>6</v>
      </c>
      <c r="O399" s="181">
        <f>=IF(M399="",TODAY()-J399,M399-J399)</f>
        <v>-9</v>
      </c>
      <c r="P399" s="131" t="s">
        <f>=IF(O399&gt;0,"逾期","正常")</f>
        <v>32</v>
      </c>
      <c r="Q399" s="585" t="s"/>
      <c r="R399" s="574" t="s"/>
    </row>
    <row r="400" spans="1:18">
      <c r="A400" s="551" t="s"/>
      <c r="B400" s="552" t="s"/>
      <c r="C400" s="553" t="s"/>
      <c r="D400" s="534" t="s">
        <v>180</v>
      </c>
      <c r="E400" s="575" t="s">
        <v>23</v>
      </c>
      <c r="F400" s="390">
        <f>=F401-F399</f>
        <v>30</v>
      </c>
      <c r="G400" s="479" t="s">
        <v>24</v>
      </c>
      <c r="H400" s="479" t="s">
        <v>50</v>
      </c>
      <c r="I400" s="134">
        <f>=M399</f>
        <v>45958</v>
      </c>
      <c r="J400" s="134">
        <f>=F401</f>
        <v>45982</v>
      </c>
      <c r="K400" s="134">
        <f>=J400</f>
        <v>45982</v>
      </c>
      <c r="L400" s="492">
        <f>=J400-I400</f>
        <v>24</v>
      </c>
      <c r="M400" s="406">
        <v>45980</v>
      </c>
      <c r="N400" s="467">
        <f>=M400-I400</f>
        <v>22</v>
      </c>
      <c r="O400" s="127">
        <f>=IF(M400="",TODAY()-J400,M400-J400)</f>
        <v>-2</v>
      </c>
      <c r="P400" s="131" t="s">
        <f>=IF(O400&gt;0,"逾期","正常")</f>
        <v>32</v>
      </c>
      <c r="Q400" s="576" t="s"/>
      <c r="R400" s="577" t="s"/>
    </row>
    <row r="401" spans="1:18">
      <c r="A401" s="551" t="s"/>
      <c r="B401" s="552" t="s"/>
      <c r="C401" s="553" t="s"/>
      <c r="D401" s="575" t="s">
        <v>28</v>
      </c>
      <c r="E401" s="575" t="s">
        <v>29</v>
      </c>
      <c r="F401" s="404">
        <v>45982</v>
      </c>
      <c r="G401" s="467" t="s">
        <v>30</v>
      </c>
      <c r="H401" s="467" t="s">
        <v>31</v>
      </c>
      <c r="I401" s="400">
        <f>=M400</f>
        <v>45980</v>
      </c>
      <c r="J401" s="400">
        <f>=I401+L401</f>
        <v>45987</v>
      </c>
      <c r="K401" s="400">
        <f>=J401</f>
        <v>45987</v>
      </c>
      <c r="L401" s="578">
        <v>7</v>
      </c>
      <c r="M401" s="394">
        <v>45981</v>
      </c>
      <c r="N401" s="467">
        <f>=M401-I401</f>
        <v>1</v>
      </c>
      <c r="O401" s="127">
        <f>=IF(M401="",TODAY()-J401,M401-J401)</f>
        <v>-6</v>
      </c>
      <c r="P401" s="131" t="s">
        <f>=IF(O401&gt;0,"逾期","正常")</f>
        <v>32</v>
      </c>
      <c r="Q401" s="576" t="s"/>
      <c r="R401" s="577" t="s"/>
    </row>
    <row r="402" spans="1:18">
      <c r="A402" s="551" t="s"/>
      <c r="B402" s="552" t="s"/>
      <c r="C402" s="553" t="s"/>
      <c r="D402" s="559" t="s">
        <v>46</v>
      </c>
      <c r="E402" s="575" t="s">
        <v>34</v>
      </c>
      <c r="F402" s="136">
        <f>=IF(M400="",TODAY()-F399,M400-F399)</f>
        <v>28</v>
      </c>
      <c r="G402" s="403" t="s">
        <v>35</v>
      </c>
      <c r="H402" s="403" t="s">
        <v>224</v>
      </c>
      <c r="I402" s="404">
        <f>=M401</f>
        <v>45981</v>
      </c>
      <c r="J402" s="404">
        <f>=I402+L402</f>
        <v>45984</v>
      </c>
      <c r="K402" s="404">
        <f>=J402</f>
        <v>45984</v>
      </c>
      <c r="L402" s="578">
        <v>3</v>
      </c>
      <c r="M402" s="406">
        <v>46016</v>
      </c>
      <c r="N402" s="467">
        <f>=M402-I402</f>
        <v>35</v>
      </c>
      <c r="O402" s="127">
        <f>=IF(M402="",TODAY()-J402,M402-J402)</f>
        <v>32</v>
      </c>
      <c r="P402" s="131" t="s">
        <f>=IF(O402&gt;0,"逾期","正常")</f>
        <v>21</v>
      </c>
      <c r="Q402" s="576" t="s">
        <v>369</v>
      </c>
      <c r="R402" s="577" t="s"/>
    </row>
    <row r="403" spans="1:18">
      <c r="A403" s="551" t="s"/>
      <c r="B403" s="552" t="s"/>
      <c r="C403" s="553" t="s"/>
      <c r="D403" s="579" t="s">
        <v>36</v>
      </c>
      <c r="E403" s="579" t="s">
        <v>37</v>
      </c>
      <c r="F403" s="557">
        <v>0.9</v>
      </c>
      <c r="G403" s="558" t="s">
        <v>38</v>
      </c>
      <c r="H403" s="142" t="s">
        <f>=D400</f>
        <v>180</v>
      </c>
      <c r="I403" s="412">
        <f>=M402</f>
        <v>46016</v>
      </c>
      <c r="J403" s="412">
        <f>=I403+L403</f>
        <v>46106</v>
      </c>
      <c r="K403" s="412">
        <f>=J403</f>
        <v>46106</v>
      </c>
      <c r="L403" s="580">
        <v>90</v>
      </c>
      <c r="M403" s="414" t="s"/>
      <c r="N403" s="581" t="s"/>
      <c r="O403" s="127">
        <f>=IF(M403="",TODAY()-J403,M403-J403)</f>
        <v>36</v>
      </c>
      <c r="P403" s="433" t="s">
        <f>=IF(O403&gt;0,"逾期","正常")</f>
        <v>21</v>
      </c>
      <c r="Q403" s="582" t="s"/>
      <c r="R403" s="583" t="s"/>
    </row>
    <row r="404" spans="1:18" s="881" customFormat="1">
      <c r="A404" s="808" t="s">
        <v>370</v>
      </c>
      <c r="B404" s="809" t="s">
        <v>32</v>
      </c>
      <c r="C404" s="810" t="s">
        <v>371</v>
      </c>
      <c r="D404" s="811" t="s">
        <v>17</v>
      </c>
      <c r="E404" s="811" t="s">
        <v>18</v>
      </c>
      <c r="F404" s="812">
        <v>45954</v>
      </c>
      <c r="G404" s="813" t="s">
        <v>19</v>
      </c>
      <c r="H404" s="814" t="s">
        <v>41</v>
      </c>
      <c r="I404" s="815">
        <f>=F404</f>
        <v>45954</v>
      </c>
      <c r="J404" s="816">
        <v>45964</v>
      </c>
      <c r="K404" s="816">
        <v>45962</v>
      </c>
      <c r="L404" s="817">
        <f>=J404-I404</f>
        <v>10</v>
      </c>
      <c r="M404" s="818">
        <v>45972</v>
      </c>
      <c r="N404" s="819">
        <f>=M404-I404</f>
        <v>18</v>
      </c>
      <c r="O404" s="820">
        <f>=IF(M404="",TODAY()-J404,M404-J404)</f>
        <v>8</v>
      </c>
      <c r="P404" s="821" t="s">
        <f>=IF(O404&gt;0,"逾期","正常")</f>
        <v>21</v>
      </c>
      <c r="Q404" s="822" t="s">
        <v>372</v>
      </c>
      <c r="R404" s="823" t="s"/>
    </row>
    <row r="405" spans="1:18" s="881" customFormat="1">
      <c r="A405" s="551" t="s"/>
      <c r="B405" s="552" t="s"/>
      <c r="C405" s="553" t="s"/>
      <c r="D405" s="824" t="s">
        <v>373</v>
      </c>
      <c r="E405" s="825" t="s">
        <v>23</v>
      </c>
      <c r="F405" s="826">
        <f>=F406-F404</f>
        <v>30</v>
      </c>
      <c r="G405" s="827" t="s">
        <v>24</v>
      </c>
      <c r="H405" s="827" t="s">
        <v>25</v>
      </c>
      <c r="I405" s="828">
        <f>=M404</f>
        <v>45972</v>
      </c>
      <c r="J405" s="828">
        <f>=F406</f>
        <v>45984</v>
      </c>
      <c r="K405" s="828">
        <f>=J405</f>
        <v>45984</v>
      </c>
      <c r="L405" s="829">
        <f>=J405-I405</f>
        <v>12</v>
      </c>
      <c r="M405" s="830">
        <v>46000</v>
      </c>
      <c r="N405" s="831">
        <f>=M405-I405</f>
        <v>28</v>
      </c>
      <c r="O405" s="832">
        <f>=IF(M405="",TODAY()-J405,M405-J405)</f>
        <v>16</v>
      </c>
      <c r="P405" s="821" t="s">
        <f>=IF(O405&gt;0,"逾期","正常")</f>
        <v>21</v>
      </c>
      <c r="Q405" s="833" t="s">
        <v>374</v>
      </c>
      <c r="R405" s="834" t="s"/>
    </row>
    <row r="406" spans="1:18" s="881" customFormat="1">
      <c r="A406" s="551" t="s"/>
      <c r="B406" s="552" t="s"/>
      <c r="C406" s="553" t="s"/>
      <c r="D406" s="825" t="s">
        <v>28</v>
      </c>
      <c r="E406" s="825" t="s">
        <v>29</v>
      </c>
      <c r="F406" s="835">
        <v>45984</v>
      </c>
      <c r="G406" s="831" t="s">
        <v>30</v>
      </c>
      <c r="H406" s="831" t="s">
        <v>31</v>
      </c>
      <c r="I406" s="835">
        <f>=M405</f>
        <v>46000</v>
      </c>
      <c r="J406" s="835">
        <f>=I406+L406</f>
        <v>46007</v>
      </c>
      <c r="K406" s="835">
        <f>=J406</f>
        <v>46007</v>
      </c>
      <c r="L406" s="836">
        <v>7</v>
      </c>
      <c r="M406" s="830">
        <v>46002</v>
      </c>
      <c r="N406" s="831">
        <f>=M406-I406</f>
        <v>2</v>
      </c>
      <c r="O406" s="832">
        <f>=IF(M406="",TODAY()-J406,M406-J406)</f>
        <v>-5</v>
      </c>
      <c r="P406" s="821" t="s">
        <f>=IF(O406&gt;0,"逾期","正常")</f>
        <v>32</v>
      </c>
      <c r="Q406" s="833" t="s"/>
      <c r="R406" s="834" t="s"/>
    </row>
    <row r="407" spans="1:18" s="881" customFormat="1">
      <c r="A407" s="551" t="s"/>
      <c r="B407" s="552" t="s"/>
      <c r="C407" s="553" t="s"/>
      <c r="D407" s="837" t="s">
        <v>46</v>
      </c>
      <c r="E407" s="825" t="s">
        <v>34</v>
      </c>
      <c r="F407" s="838">
        <f>=IF(M405="",TODAY()-F404,M405-F404)</f>
        <v>46</v>
      </c>
      <c r="G407" s="831" t="s">
        <v>35</v>
      </c>
      <c r="H407" s="831" t="s">
        <v>52</v>
      </c>
      <c r="I407" s="835">
        <f>=M406</f>
        <v>46002</v>
      </c>
      <c r="J407" s="835">
        <f>=I407+L407</f>
        <v>46009</v>
      </c>
      <c r="K407" s="835">
        <f>=J407</f>
        <v>46009</v>
      </c>
      <c r="L407" s="836">
        <v>7</v>
      </c>
      <c r="M407" s="830">
        <v>46014</v>
      </c>
      <c r="N407" s="831">
        <f>=M407-I407</f>
        <v>12</v>
      </c>
      <c r="O407" s="832">
        <f>=IF(M407="",TODAY()-J407,M407-J407)</f>
        <v>5</v>
      </c>
      <c r="P407" s="821" t="s">
        <f>=IF(O407&gt;0,"逾期","正常")</f>
        <v>21</v>
      </c>
      <c r="Q407" s="833" t="s">
        <v>375</v>
      </c>
      <c r="R407" s="834" t="s"/>
    </row>
    <row r="408" spans="1:18" s="881" customFormat="1">
      <c r="A408" s="551" t="s"/>
      <c r="B408" s="552" t="s"/>
      <c r="C408" s="553" t="s"/>
      <c r="D408" s="839" t="s">
        <v>36</v>
      </c>
      <c r="E408" s="839" t="s">
        <v>37</v>
      </c>
      <c r="F408" s="840">
        <v>1</v>
      </c>
      <c r="G408" s="841" t="s">
        <v>38</v>
      </c>
      <c r="H408" s="842" t="s">
        <f>=D405</f>
        <v>373</v>
      </c>
      <c r="I408" s="843">
        <f>=M407</f>
        <v>46014</v>
      </c>
      <c r="J408" s="843">
        <f>=I408+L408</f>
        <v>46104</v>
      </c>
      <c r="K408" s="843">
        <f>=J408</f>
        <v>46104</v>
      </c>
      <c r="L408" s="844">
        <v>90</v>
      </c>
      <c r="M408" s="845">
        <v>46150</v>
      </c>
      <c r="N408" s="831">
        <f>=M408-I408</f>
        <v>136</v>
      </c>
      <c r="O408" s="832">
        <f>=IF(M408="",TODAY()-J408,M408-J408)</f>
        <v>46</v>
      </c>
      <c r="P408" s="846" t="s">
        <f>=IF(O408&gt;0,"逾期","正常")</f>
        <v>21</v>
      </c>
      <c r="Q408" s="847" t="s"/>
      <c r="R408" s="848" t="s"/>
    </row>
    <row r="409" spans="1:18" s="57" customFormat="1">
      <c r="A409" s="543" t="s">
        <v>376</v>
      </c>
      <c r="B409" s="544" t="s">
        <v>32</v>
      </c>
      <c r="C409" s="545" t="s">
        <v>377</v>
      </c>
      <c r="D409" s="566" t="s">
        <v>17</v>
      </c>
      <c r="E409" s="566" t="s">
        <v>18</v>
      </c>
      <c r="F409" s="547">
        <v>45957</v>
      </c>
      <c r="G409" s="548" t="s">
        <v>19</v>
      </c>
      <c r="H409" s="509" t="s">
        <v>63</v>
      </c>
      <c r="I409" s="119">
        <f>=F409</f>
        <v>45957</v>
      </c>
      <c r="J409" s="549">
        <v>45975</v>
      </c>
      <c r="K409" s="549">
        <v>45969</v>
      </c>
      <c r="L409" s="180">
        <f>=J409-I409</f>
        <v>18</v>
      </c>
      <c r="M409" s="599">
        <v>45974</v>
      </c>
      <c r="N409" s="600">
        <f>=M409-I409</f>
        <v>17</v>
      </c>
      <c r="O409" s="118">
        <f>=IF(M409="",TODAY()-J409,M409-J409)</f>
        <v>-1</v>
      </c>
      <c r="P409" s="131" t="s">
        <f>=IF(O409&gt;0,"逾期","正常")</f>
        <v>32</v>
      </c>
      <c r="Q409" s="585" t="s">
        <v>378</v>
      </c>
      <c r="R409" s="574" t="s"/>
    </row>
    <row r="410" spans="1:18" s="57" customFormat="1">
      <c r="A410" s="551" t="s"/>
      <c r="B410" s="552" t="s"/>
      <c r="C410" s="553" t="s"/>
      <c r="D410" s="534" t="s">
        <v>72</v>
      </c>
      <c r="E410" s="575" t="s">
        <v>23</v>
      </c>
      <c r="F410" s="390">
        <f>=F411-F409</f>
        <v>35</v>
      </c>
      <c r="G410" s="479" t="s">
        <v>24</v>
      </c>
      <c r="H410" s="479" t="s">
        <v>50</v>
      </c>
      <c r="I410" s="134">
        <f>=M409</f>
        <v>45974</v>
      </c>
      <c r="J410" s="134">
        <f>=F411</f>
        <v>45992</v>
      </c>
      <c r="K410" s="134">
        <f>=J410</f>
        <v>45992</v>
      </c>
      <c r="L410" s="492">
        <f>=J410-I410</f>
        <v>18</v>
      </c>
      <c r="M410" s="406">
        <v>45992</v>
      </c>
      <c r="N410" s="467">
        <f>=M410-I410</f>
        <v>18</v>
      </c>
      <c r="O410" s="129">
        <f>=IF(M410="",TODAY()-J410,M410-J410)</f>
        <v>0</v>
      </c>
      <c r="P410" s="131" t="s">
        <f>=IF(O410&gt;0,"逾期","正常")</f>
        <v>32</v>
      </c>
      <c r="Q410" s="576" t="s"/>
      <c r="R410" s="577" t="s"/>
    </row>
    <row r="411" spans="1:18" s="57" customFormat="1">
      <c r="A411" s="551" t="s"/>
      <c r="B411" s="552" t="s"/>
      <c r="C411" s="553" t="s"/>
      <c r="D411" s="575" t="s">
        <v>28</v>
      </c>
      <c r="E411" s="575" t="s">
        <v>29</v>
      </c>
      <c r="F411" s="404">
        <v>45992</v>
      </c>
      <c r="G411" s="403" t="s">
        <v>30</v>
      </c>
      <c r="H411" s="403" t="s">
        <v>31</v>
      </c>
      <c r="I411" s="404">
        <f>=M410</f>
        <v>45992</v>
      </c>
      <c r="J411" s="404">
        <f>=I411+L411</f>
        <v>45999</v>
      </c>
      <c r="K411" s="404">
        <f>=J411</f>
        <v>45999</v>
      </c>
      <c r="L411" s="578">
        <v>7</v>
      </c>
      <c r="M411" s="601">
        <v>46003</v>
      </c>
      <c r="N411" s="467">
        <f>=M411-I411</f>
        <v>11</v>
      </c>
      <c r="O411" s="129">
        <f>=IF(M411="",TODAY()-J411,M411-J411)</f>
        <v>4</v>
      </c>
      <c r="P411" s="131" t="s">
        <f>=IF(O411&gt;0,"逾期","正常")</f>
        <v>21</v>
      </c>
      <c r="Q411" s="576" t="s">
        <v>379</v>
      </c>
      <c r="R411" s="577" t="s"/>
    </row>
    <row r="412" spans="1:18" s="57" customFormat="1">
      <c r="A412" s="551" t="s"/>
      <c r="B412" s="552" t="s"/>
      <c r="C412" s="553" t="s"/>
      <c r="D412" s="559" t="s">
        <v>51</v>
      </c>
      <c r="E412" s="575" t="s">
        <v>34</v>
      </c>
      <c r="F412" s="136">
        <f>=IF(M410="",TODAY()-F409,M410-F409)</f>
        <v>35</v>
      </c>
      <c r="G412" s="425" t="s">
        <v>35</v>
      </c>
      <c r="H412" s="425" t="s">
        <v>224</v>
      </c>
      <c r="I412" s="426">
        <f>=M411</f>
        <v>46003</v>
      </c>
      <c r="J412" s="426">
        <f>=I412+L412</f>
        <v>46017</v>
      </c>
      <c r="K412" s="426">
        <f>=J412</f>
        <v>46017</v>
      </c>
      <c r="L412" s="602">
        <v>14</v>
      </c>
      <c r="M412" s="603" t="s"/>
      <c r="N412" s="467" t="s"/>
      <c r="O412" s="129">
        <f>=IF(M412="",TODAY()-J412,M412-J412)</f>
        <v>125</v>
      </c>
      <c r="P412" s="131" t="s">
        <f>=IF(O412&gt;0,"逾期","正常")</f>
        <v>21</v>
      </c>
      <c r="Q412" s="576" t="s">
        <v>380</v>
      </c>
      <c r="R412" s="577" t="s"/>
    </row>
    <row r="413" spans="1:18" s="57" customFormat="1">
      <c r="A413" s="551" t="s"/>
      <c r="B413" s="552" t="s"/>
      <c r="C413" s="553" t="s"/>
      <c r="D413" s="579" t="s">
        <v>36</v>
      </c>
      <c r="E413" s="579" t="s">
        <v>37</v>
      </c>
      <c r="F413" s="557">
        <v>0.9</v>
      </c>
      <c r="G413" s="565" t="s">
        <v>38</v>
      </c>
      <c r="H413" s="171" t="s">
        <f>=D410</f>
        <v>72</v>
      </c>
      <c r="I413" s="430" t="s"/>
      <c r="J413" s="430" t="s"/>
      <c r="K413" s="430" t="s"/>
      <c r="L413" s="597">
        <v>90</v>
      </c>
      <c r="M413" s="604" t="s"/>
      <c r="N413" s="581" t="s"/>
      <c r="O413" s="467" t="s"/>
      <c r="P413" s="433" t="s">
        <f>=IF(O413&gt;0,"逾期","正常")</f>
        <v>32</v>
      </c>
      <c r="Q413" s="582" t="s"/>
      <c r="R413" s="583" t="s"/>
    </row>
    <row r="414" spans="1:18" s="57" customFormat="1">
      <c r="A414" s="808" t="s">
        <v>381</v>
      </c>
      <c r="B414" s="809" t="s">
        <v>32</v>
      </c>
      <c r="C414" s="810" t="s">
        <v>210</v>
      </c>
      <c r="D414" s="811" t="s">
        <v>17</v>
      </c>
      <c r="E414" s="811" t="s">
        <v>18</v>
      </c>
      <c r="F414" s="812">
        <v>45965</v>
      </c>
      <c r="G414" s="813" t="s">
        <v>19</v>
      </c>
      <c r="H414" s="814" t="s">
        <v>309</v>
      </c>
      <c r="I414" s="815">
        <f>=F414</f>
        <v>45965</v>
      </c>
      <c r="J414" s="816">
        <v>45980</v>
      </c>
      <c r="K414" s="816">
        <v>45977</v>
      </c>
      <c r="L414" s="817">
        <f>=J414-I414</f>
        <v>15</v>
      </c>
      <c r="M414" s="849">
        <v>45974</v>
      </c>
      <c r="N414" s="819">
        <f>=M414-I414</f>
        <v>9</v>
      </c>
      <c r="O414" s="820">
        <f>=IF(M414="",TODAY()-J414,M414-J414)</f>
        <v>-6</v>
      </c>
      <c r="P414" s="821" t="s">
        <f>=IF(O414&gt;0,"逾期","正常")</f>
        <v>32</v>
      </c>
      <c r="Q414" s="822" t="s">
        <v>382</v>
      </c>
      <c r="R414" s="823" t="s"/>
    </row>
    <row r="415" spans="1:18" s="57" customFormat="1">
      <c r="A415" s="551" t="s"/>
      <c r="B415" s="552" t="s"/>
      <c r="C415" s="553" t="s"/>
      <c r="D415" s="824" t="s">
        <v>227</v>
      </c>
      <c r="E415" s="825" t="s">
        <v>23</v>
      </c>
      <c r="F415" s="826">
        <f>=F416-F414</f>
        <v>30</v>
      </c>
      <c r="G415" s="827" t="s">
        <v>24</v>
      </c>
      <c r="H415" s="827" t="s">
        <v>50</v>
      </c>
      <c r="I415" s="828">
        <f>=M414</f>
        <v>45974</v>
      </c>
      <c r="J415" s="828">
        <f>=F416</f>
        <v>45995</v>
      </c>
      <c r="K415" s="828">
        <f>=J415</f>
        <v>45995</v>
      </c>
      <c r="L415" s="829">
        <f>=J415-I415</f>
        <v>21</v>
      </c>
      <c r="M415" s="830">
        <v>45996</v>
      </c>
      <c r="N415" s="831">
        <f>=M415-I415</f>
        <v>22</v>
      </c>
      <c r="O415" s="832">
        <f>=IF(M415="",TODAY()-J415,M415-J415)</f>
        <v>1</v>
      </c>
      <c r="P415" s="821" t="s">
        <f>=IF(O415&gt;0,"逾期","正常")</f>
        <v>21</v>
      </c>
      <c r="Q415" s="833" t="s"/>
      <c r="R415" s="834" t="s"/>
    </row>
    <row r="416" spans="1:18" s="57" customFormat="1">
      <c r="A416" s="551" t="s"/>
      <c r="B416" s="552" t="s"/>
      <c r="C416" s="553" t="s"/>
      <c r="D416" s="825" t="s">
        <v>28</v>
      </c>
      <c r="E416" s="825" t="s">
        <v>29</v>
      </c>
      <c r="F416" s="835">
        <v>45995</v>
      </c>
      <c r="G416" s="831" t="s">
        <v>30</v>
      </c>
      <c r="H416" s="831" t="s">
        <v>31</v>
      </c>
      <c r="I416" s="835">
        <f>=M415</f>
        <v>45996</v>
      </c>
      <c r="J416" s="835">
        <f>=I416+L416</f>
        <v>46003</v>
      </c>
      <c r="K416" s="835">
        <f>=J416</f>
        <v>46003</v>
      </c>
      <c r="L416" s="836">
        <v>7</v>
      </c>
      <c r="M416" s="850">
        <v>46001</v>
      </c>
      <c r="N416" s="831">
        <f>=M416-I416</f>
        <v>5</v>
      </c>
      <c r="O416" s="832">
        <f>=IF(M416="",TODAY()-J416,M416-J416)</f>
        <v>-2</v>
      </c>
      <c r="P416" s="821" t="s">
        <f>=IF(O416&gt;0,"逾期","正常")</f>
        <v>32</v>
      </c>
      <c r="Q416" s="833" t="s"/>
      <c r="R416" s="834" t="s"/>
    </row>
    <row r="417" spans="1:18" s="57" customFormat="1">
      <c r="A417" s="551" t="s"/>
      <c r="B417" s="552" t="s"/>
      <c r="C417" s="553" t="s"/>
      <c r="D417" s="837" t="s">
        <v>46</v>
      </c>
      <c r="E417" s="825" t="s">
        <v>34</v>
      </c>
      <c r="F417" s="838">
        <f>=IF(M415="",TODAY()-F414,M415-F414)</f>
        <v>31</v>
      </c>
      <c r="G417" s="831" t="s">
        <v>35</v>
      </c>
      <c r="H417" s="831" t="s">
        <v>124</v>
      </c>
      <c r="I417" s="835">
        <f>=M416</f>
        <v>46001</v>
      </c>
      <c r="J417" s="835">
        <f>=I417+L417</f>
        <v>46005</v>
      </c>
      <c r="K417" s="835">
        <f>=J417</f>
        <v>46005</v>
      </c>
      <c r="L417" s="836">
        <v>4</v>
      </c>
      <c r="M417" s="850">
        <v>46017</v>
      </c>
      <c r="N417" s="831">
        <f>=M417-I417</f>
        <v>16</v>
      </c>
      <c r="O417" s="832">
        <f>=IF(M417="",TODAY()-J417,M417-J417)</f>
        <v>12</v>
      </c>
      <c r="P417" s="821" t="s">
        <f>=IF(O417&gt;0,"逾期","正常")</f>
        <v>21</v>
      </c>
      <c r="Q417" s="833" t="s">
        <v>383</v>
      </c>
      <c r="R417" s="834" t="s"/>
    </row>
    <row r="418" spans="1:18" s="57" customFormat="1">
      <c r="A418" s="551" t="s"/>
      <c r="B418" s="552" t="s"/>
      <c r="C418" s="553" t="s"/>
      <c r="D418" s="839" t="s">
        <v>36</v>
      </c>
      <c r="E418" s="839" t="s">
        <v>37</v>
      </c>
      <c r="F418" s="840">
        <v>1</v>
      </c>
      <c r="G418" s="841" t="s">
        <v>38</v>
      </c>
      <c r="H418" s="842" t="s">
        <f>=D415</f>
        <v>227</v>
      </c>
      <c r="I418" s="843">
        <f>=M417</f>
        <v>46017</v>
      </c>
      <c r="J418" s="843">
        <f>=I418+L418</f>
        <v>46107</v>
      </c>
      <c r="K418" s="843">
        <f>=J418</f>
        <v>46107</v>
      </c>
      <c r="L418" s="844">
        <v>90</v>
      </c>
      <c r="M418" s="851">
        <v>46150</v>
      </c>
      <c r="N418" s="831">
        <f>=M418-I418</f>
        <v>133</v>
      </c>
      <c r="O418" s="832">
        <f>=IF(M418="",TODAY()-J418,M418-J418)</f>
        <v>43</v>
      </c>
      <c r="P418" s="846" t="s">
        <f>=IF(O418&gt;0,"逾期","正常")</f>
        <v>21</v>
      </c>
      <c r="Q418" s="847" t="s"/>
      <c r="R418" s="848" t="s"/>
    </row>
    <row r="419" spans="1:18" s="57" customFormat="1">
      <c r="A419" s="606" t="s">
        <v>384</v>
      </c>
      <c r="B419" s="607" t="s">
        <v>32</v>
      </c>
      <c r="C419" s="608" t="s">
        <v>385</v>
      </c>
      <c r="D419" s="609" t="s">
        <v>17</v>
      </c>
      <c r="E419" s="609" t="s">
        <v>18</v>
      </c>
      <c r="F419" s="599">
        <v>45973</v>
      </c>
      <c r="G419" s="610" t="s">
        <v>19</v>
      </c>
      <c r="H419" s="611" t="s">
        <v>49</v>
      </c>
      <c r="I419" s="612">
        <f>=F419</f>
        <v>45973</v>
      </c>
      <c r="J419" s="599">
        <v>45991</v>
      </c>
      <c r="K419" s="599">
        <v>45985</v>
      </c>
      <c r="L419" s="613">
        <f>=J419-I419</f>
        <v>18</v>
      </c>
      <c r="M419" s="599">
        <v>45982</v>
      </c>
      <c r="N419" s="598">
        <f>=M419-I419</f>
        <v>9</v>
      </c>
      <c r="O419" s="614">
        <f>=IF(M419="",TODAY()-J419,M419-J419)</f>
        <v>-9</v>
      </c>
      <c r="P419" s="131" t="s">
        <f>=IF(O419&gt;0,"逾期","正常")</f>
        <v>32</v>
      </c>
      <c r="Q419" s="615" t="s"/>
      <c r="R419" s="616" t="s"/>
    </row>
    <row r="420" spans="1:18" s="57" customFormat="1">
      <c r="A420" s="617" t="s"/>
      <c r="B420" s="618" t="s"/>
      <c r="C420" s="619" t="s"/>
      <c r="D420" s="620" t="s">
        <v>22</v>
      </c>
      <c r="E420" s="621" t="s">
        <v>23</v>
      </c>
      <c r="F420" s="622">
        <f>=F421-F419</f>
        <v>35</v>
      </c>
      <c r="G420" s="479" t="s">
        <v>24</v>
      </c>
      <c r="H420" s="479" t="s">
        <v>25</v>
      </c>
      <c r="I420" s="134">
        <f>=M419</f>
        <v>45982</v>
      </c>
      <c r="J420" s="134">
        <f>=F421</f>
        <v>46008</v>
      </c>
      <c r="K420" s="134">
        <f>=J420</f>
        <v>46008</v>
      </c>
      <c r="L420" s="492">
        <f>=J420-I420</f>
        <v>26</v>
      </c>
      <c r="M420" s="406">
        <v>46001</v>
      </c>
      <c r="N420" s="467">
        <f>=M420-I420</f>
        <v>19</v>
      </c>
      <c r="O420" s="127">
        <f>=IF(M420="",TODAY()-J420,M420-J420)</f>
        <v>-7</v>
      </c>
      <c r="P420" s="131" t="s">
        <f>=IF(O420&gt;0,"逾期","正常")</f>
        <v>32</v>
      </c>
      <c r="Q420" s="623" t="s"/>
      <c r="R420" s="624" t="s"/>
    </row>
    <row r="421" spans="1:18" s="57" customFormat="1">
      <c r="A421" s="617" t="s"/>
      <c r="B421" s="618" t="s"/>
      <c r="C421" s="619" t="s"/>
      <c r="D421" s="621" t="s">
        <v>28</v>
      </c>
      <c r="E421" s="621" t="s">
        <v>29</v>
      </c>
      <c r="F421" s="601">
        <v>46008</v>
      </c>
      <c r="G421" s="625" t="s">
        <v>30</v>
      </c>
      <c r="H421" s="625" t="s">
        <v>31</v>
      </c>
      <c r="I421" s="601">
        <f>=M420</f>
        <v>46001</v>
      </c>
      <c r="J421" s="601">
        <f>=I421+L421</f>
        <v>46008</v>
      </c>
      <c r="K421" s="601">
        <f>=J421</f>
        <v>46008</v>
      </c>
      <c r="L421" s="625">
        <v>7</v>
      </c>
      <c r="M421" s="601">
        <v>46010</v>
      </c>
      <c r="N421" s="467">
        <f>=M421-I421</f>
        <v>9</v>
      </c>
      <c r="O421" s="127">
        <f>=IF(M421="",TODAY()-J421,M421-J421)</f>
        <v>2</v>
      </c>
      <c r="P421" s="131" t="s">
        <f>=IF(O421&gt;0,"逾期","正常")</f>
        <v>21</v>
      </c>
      <c r="Q421" s="623" t="s">
        <v>386</v>
      </c>
      <c r="R421" s="624" t="s"/>
    </row>
    <row r="422" spans="1:18" s="57" customFormat="1">
      <c r="A422" s="617" t="s"/>
      <c r="B422" s="618" t="s"/>
      <c r="C422" s="619" t="s"/>
      <c r="D422" s="626" t="s">
        <v>51</v>
      </c>
      <c r="E422" s="621" t="s">
        <v>34</v>
      </c>
      <c r="F422" s="627">
        <f>=IF(M420="",TODAY()-F419,M420-F419)</f>
        <v>28</v>
      </c>
      <c r="G422" s="628" t="s">
        <v>35</v>
      </c>
      <c r="H422" s="628" t="s">
        <v>52</v>
      </c>
      <c r="I422" s="629">
        <f>=M421</f>
        <v>46010</v>
      </c>
      <c r="J422" s="629">
        <f>=I422+L422</f>
        <v>46017</v>
      </c>
      <c r="K422" s="629">
        <f>=J422</f>
        <v>46017</v>
      </c>
      <c r="L422" s="628">
        <v>7</v>
      </c>
      <c r="M422" s="629" t="s"/>
      <c r="N422" s="630" t="s"/>
      <c r="O422" s="127">
        <f>=IF(M422="",TODAY()-J422,M422-J422)</f>
        <v>125</v>
      </c>
      <c r="P422" s="131" t="s">
        <f>=IF(O422&gt;0,"逾期","正常")</f>
        <v>21</v>
      </c>
      <c r="Q422" s="623" t="s">
        <v>387</v>
      </c>
      <c r="R422" s="624" t="s"/>
    </row>
    <row r="423" spans="1:18" s="57" customFormat="1">
      <c r="A423" s="631" t="s"/>
      <c r="B423" s="632" t="s"/>
      <c r="C423" s="633" t="s"/>
      <c r="D423" s="634" t="s">
        <v>36</v>
      </c>
      <c r="E423" s="634" t="s">
        <v>37</v>
      </c>
      <c r="F423" s="635">
        <v>0.2993</v>
      </c>
      <c r="G423" s="636" t="s">
        <v>38</v>
      </c>
      <c r="H423" s="637" t="s">
        <f>=D420</f>
        <v>22</v>
      </c>
      <c r="I423" s="604" t="s"/>
      <c r="J423" s="604" t="s"/>
      <c r="K423" s="604" t="s"/>
      <c r="L423" s="638">
        <v>90</v>
      </c>
      <c r="M423" s="604" t="s"/>
      <c r="N423" s="639" t="s"/>
      <c r="O423" s="638" t="s"/>
      <c r="P423" s="433" t="s">
        <f>=IF(O423&gt;0,"逾期","正常")</f>
        <v>32</v>
      </c>
      <c r="Q423" s="640" t="s"/>
      <c r="R423" s="641" t="s"/>
    </row>
    <row r="424" spans="1:18" s="57" customFormat="1">
      <c r="A424" s="606" t="s">
        <v>388</v>
      </c>
      <c r="B424" s="642" t="s">
        <v>32</v>
      </c>
      <c r="C424" s="608" t="s">
        <v>389</v>
      </c>
      <c r="D424" s="609" t="s">
        <v>17</v>
      </c>
      <c r="E424" s="609" t="s">
        <v>18</v>
      </c>
      <c r="F424" s="599">
        <v>45978</v>
      </c>
      <c r="G424" s="643" t="s">
        <v>19</v>
      </c>
      <c r="H424" s="644" t="s">
        <v>49</v>
      </c>
      <c r="I424" s="645">
        <f>=F424</f>
        <v>45978</v>
      </c>
      <c r="J424" s="646">
        <v>45992</v>
      </c>
      <c r="K424" s="646">
        <v>45990</v>
      </c>
      <c r="L424" s="647">
        <f>=J424-I424</f>
        <v>14</v>
      </c>
      <c r="M424" s="646">
        <v>45985</v>
      </c>
      <c r="N424" s="598">
        <f>=M424-I424</f>
        <v>7</v>
      </c>
      <c r="O424" s="614">
        <f>=IF(M424="",TODAY()-J424,M424-J424)</f>
        <v>-7</v>
      </c>
      <c r="P424" s="131" t="s">
        <f>=IF(O424&gt;0,"逾期","正常")</f>
        <v>32</v>
      </c>
      <c r="Q424" s="615" t="s"/>
      <c r="R424" s="616" t="s"/>
    </row>
    <row r="425" spans="1:18" s="57" customFormat="1">
      <c r="A425" s="617" t="s"/>
      <c r="B425" s="618" t="s"/>
      <c r="C425" s="619" t="s"/>
      <c r="D425" s="620" t="s">
        <v>373</v>
      </c>
      <c r="E425" s="621" t="s">
        <v>23</v>
      </c>
      <c r="F425" s="622">
        <f>=F426-F424</f>
        <v>29</v>
      </c>
      <c r="G425" s="488" t="s">
        <v>24</v>
      </c>
      <c r="H425" s="648" t="s">
        <v>50</v>
      </c>
      <c r="I425" s="186">
        <f>=M424</f>
        <v>45985</v>
      </c>
      <c r="J425" s="186">
        <f>=F426</f>
        <v>46007</v>
      </c>
      <c r="K425" s="186">
        <f>=J425</f>
        <v>46007</v>
      </c>
      <c r="L425" s="649">
        <f>=J425-I425</f>
        <v>22</v>
      </c>
      <c r="M425" s="428" t="s"/>
      <c r="N425" s="467" t="s"/>
      <c r="O425" s="127">
        <f>=IF(M425="",TODAY()-J425,M425-J425)</f>
        <v>143</v>
      </c>
      <c r="P425" s="650" t="s">
        <f>=IF(O425&gt;0,"逾期","正常")</f>
        <v>21</v>
      </c>
      <c r="Q425" s="623" t="s">
        <v>390</v>
      </c>
      <c r="R425" s="624" t="s"/>
    </row>
    <row r="426" spans="1:18" s="57" customFormat="1">
      <c r="A426" s="617" t="s"/>
      <c r="B426" s="618" t="s"/>
      <c r="C426" s="619" t="s"/>
      <c r="D426" s="621" t="s">
        <v>28</v>
      </c>
      <c r="E426" s="621" t="s">
        <v>29</v>
      </c>
      <c r="F426" s="601">
        <v>46007</v>
      </c>
      <c r="G426" s="630" t="s">
        <v>30</v>
      </c>
      <c r="H426" s="630" t="s">
        <v>31</v>
      </c>
      <c r="I426" s="651" t="s"/>
      <c r="J426" s="651" t="s"/>
      <c r="K426" s="651" t="s"/>
      <c r="L426" s="652">
        <v>7</v>
      </c>
      <c r="M426" s="651" t="s"/>
      <c r="N426" s="653" t="s"/>
      <c r="O426" s="630" t="s"/>
      <c r="P426" s="131" t="s">
        <f>=IF(O426&gt;0,"逾期","正常")</f>
        <v>32</v>
      </c>
      <c r="Q426" s="623" t="s"/>
      <c r="R426" s="624" t="s"/>
    </row>
    <row r="427" spans="1:18" s="57" customFormat="1">
      <c r="A427" s="617" t="s"/>
      <c r="B427" s="618" t="s"/>
      <c r="C427" s="619" t="s"/>
      <c r="D427" s="626" t="s">
        <v>46</v>
      </c>
      <c r="E427" s="621" t="s">
        <v>34</v>
      </c>
      <c r="F427" s="627">
        <f>=IF(M425="",TODAY()-F424,M425-F424)</f>
        <v>172</v>
      </c>
      <c r="G427" s="630" t="s">
        <v>35</v>
      </c>
      <c r="H427" s="630" t="s"/>
      <c r="I427" s="651" t="s"/>
      <c r="J427" s="651" t="s"/>
      <c r="K427" s="651" t="s"/>
      <c r="L427" s="630" t="s"/>
      <c r="M427" s="651" t="s"/>
      <c r="N427" s="630" t="s"/>
      <c r="O427" s="630" t="s"/>
      <c r="P427" s="131" t="s">
        <f>=IF(O427&gt;0,"逾期","正常")</f>
        <v>32</v>
      </c>
      <c r="Q427" s="623" t="s"/>
      <c r="R427" s="624" t="s"/>
    </row>
    <row r="428" spans="1:18" s="57" customFormat="1">
      <c r="A428" s="631" t="s"/>
      <c r="B428" s="632" t="s"/>
      <c r="C428" s="633" t="s"/>
      <c r="D428" s="634" t="s">
        <v>36</v>
      </c>
      <c r="E428" s="634" t="s">
        <v>37</v>
      </c>
      <c r="F428" s="635">
        <v>0.75</v>
      </c>
      <c r="G428" s="636" t="s">
        <v>38</v>
      </c>
      <c r="H428" s="654" t="s">
        <f>=D425</f>
        <v>373</v>
      </c>
      <c r="I428" s="604" t="s"/>
      <c r="J428" s="604" t="s"/>
      <c r="K428" s="604" t="s"/>
      <c r="L428" s="638">
        <v>90</v>
      </c>
      <c r="M428" s="604" t="s"/>
      <c r="N428" s="639" t="s"/>
      <c r="O428" s="638" t="s"/>
      <c r="P428" s="596" t="s">
        <f>=IF(O428&gt;0,"逾期","正常")</f>
        <v>32</v>
      </c>
      <c r="Q428" s="640" t="s"/>
      <c r="R428" s="641" t="s"/>
    </row>
    <row r="429" spans="1:18" s="57" customFormat="1">
      <c r="A429" s="606" t="s">
        <v>391</v>
      </c>
      <c r="B429" s="607" t="s">
        <v>32</v>
      </c>
      <c r="C429" s="608" t="s">
        <v>89</v>
      </c>
      <c r="D429" s="609" t="s">
        <v>17</v>
      </c>
      <c r="E429" s="609" t="s">
        <v>18</v>
      </c>
      <c r="F429" s="599">
        <v>45987</v>
      </c>
      <c r="G429" s="610" t="s">
        <v>19</v>
      </c>
      <c r="H429" s="611" t="s">
        <v>309</v>
      </c>
      <c r="I429" s="612">
        <f>=F429</f>
        <v>45987</v>
      </c>
      <c r="J429" s="599">
        <v>45997</v>
      </c>
      <c r="K429" s="599">
        <v>45995</v>
      </c>
      <c r="L429" s="613">
        <f>=J429-I429</f>
        <v>10</v>
      </c>
      <c r="M429" s="599">
        <v>45994</v>
      </c>
      <c r="N429" s="598">
        <f>=M429-I429</f>
        <v>7</v>
      </c>
      <c r="O429" s="655">
        <f>=IF(M429="",TODAY()-J429,M429-J429)</f>
        <v>-3</v>
      </c>
      <c r="P429" s="131" t="s">
        <f>=IF(O429&gt;0,"逾期","正常")</f>
        <v>32</v>
      </c>
      <c r="Q429" s="615" t="s"/>
      <c r="R429" s="616" t="s"/>
    </row>
    <row r="430" spans="1:18" s="57" customFormat="1">
      <c r="A430" s="617" t="s"/>
      <c r="B430" s="618" t="s"/>
      <c r="C430" s="619" t="s"/>
      <c r="D430" s="620" t="s">
        <v>128</v>
      </c>
      <c r="E430" s="621" t="s">
        <v>23</v>
      </c>
      <c r="F430" s="622">
        <f>=F431-F429</f>
        <v>30</v>
      </c>
      <c r="G430" s="479" t="s">
        <v>24</v>
      </c>
      <c r="H430" s="479" t="s">
        <v>50</v>
      </c>
      <c r="I430" s="134">
        <f>=M429</f>
        <v>45994</v>
      </c>
      <c r="J430" s="452">
        <f>=F431</f>
        <v>46017</v>
      </c>
      <c r="K430" s="134">
        <f>=J430</f>
        <v>46017</v>
      </c>
      <c r="L430" s="492">
        <f>=J430-I430</f>
        <v>23</v>
      </c>
      <c r="M430" s="406">
        <v>45997</v>
      </c>
      <c r="N430" s="467">
        <f>=M430-I430</f>
        <v>3</v>
      </c>
      <c r="O430" s="127">
        <f>=IF(M430="",TODAY()-J430,M430-J430)</f>
        <v>-20</v>
      </c>
      <c r="P430" s="131" t="s">
        <f>=IF(O430&gt;0,"逾期","正常")</f>
        <v>32</v>
      </c>
      <c r="Q430" s="623" t="s"/>
      <c r="R430" s="624" t="s"/>
    </row>
    <row r="431" spans="1:18" s="57" customFormat="1">
      <c r="A431" s="617" t="s"/>
      <c r="B431" s="618" t="s"/>
      <c r="C431" s="619" t="s"/>
      <c r="D431" s="621" t="s">
        <v>28</v>
      </c>
      <c r="E431" s="621" t="s">
        <v>29</v>
      </c>
      <c r="F431" s="601">
        <v>46017</v>
      </c>
      <c r="G431" s="625" t="s">
        <v>30</v>
      </c>
      <c r="H431" s="625" t="s">
        <v>31</v>
      </c>
      <c r="I431" s="601">
        <f>=M430</f>
        <v>45997</v>
      </c>
      <c r="J431" s="656">
        <f>=I431+L431</f>
        <v>46004</v>
      </c>
      <c r="K431" s="601">
        <f>=J431</f>
        <v>46004</v>
      </c>
      <c r="L431" s="625">
        <v>7</v>
      </c>
      <c r="M431" s="601">
        <v>46001</v>
      </c>
      <c r="N431" s="467">
        <f>=M431-I431</f>
        <v>4</v>
      </c>
      <c r="O431" s="127">
        <f>=IF(M431="",TODAY()-J431,M431-J431)</f>
        <v>-3</v>
      </c>
      <c r="P431" s="131" t="s">
        <f>=IF(O431&gt;0,"逾期","正常")</f>
        <v>32</v>
      </c>
      <c r="Q431" s="623" t="s"/>
      <c r="R431" s="624" t="s"/>
    </row>
    <row r="432" spans="1:18" s="57" customFormat="1">
      <c r="A432" s="617" t="s"/>
      <c r="B432" s="618" t="s"/>
      <c r="C432" s="619" t="s"/>
      <c r="D432" s="626" t="s">
        <v>46</v>
      </c>
      <c r="E432" s="621" t="s">
        <v>34</v>
      </c>
      <c r="F432" s="627">
        <f>=IF(M430="",TODAY()-F429,M430-F429)</f>
        <v>10</v>
      </c>
      <c r="G432" s="657" t="s">
        <v>35</v>
      </c>
      <c r="H432" s="657" t="s">
        <v>91</v>
      </c>
      <c r="I432" s="603">
        <f>=M431</f>
        <v>46001</v>
      </c>
      <c r="J432" s="629">
        <f>=I432+L432</f>
        <v>46004</v>
      </c>
      <c r="K432" s="603">
        <f>=J432</f>
        <v>46004</v>
      </c>
      <c r="L432" s="657">
        <v>3</v>
      </c>
      <c r="M432" s="603" t="s"/>
      <c r="N432" s="630" t="s"/>
      <c r="O432" s="127">
        <f>=IF(M432="",TODAY()-J432,M432-J432)</f>
        <v>138</v>
      </c>
      <c r="P432" s="131" t="s">
        <f>=IF(O432&gt;0,"逾期","正常")</f>
        <v>21</v>
      </c>
      <c r="Q432" s="623" t="s">
        <v>392</v>
      </c>
      <c r="R432" s="624" t="s"/>
    </row>
    <row r="433" spans="1:18" s="57" customFormat="1">
      <c r="A433" s="631" t="s"/>
      <c r="B433" s="632" t="s"/>
      <c r="C433" s="633" t="s"/>
      <c r="D433" s="634" t="s">
        <v>36</v>
      </c>
      <c r="E433" s="634" t="s">
        <v>37</v>
      </c>
      <c r="F433" s="635">
        <v>0.9</v>
      </c>
      <c r="G433" s="636" t="s">
        <v>38</v>
      </c>
      <c r="H433" s="637" t="s">
        <f>=D430</f>
        <v>128</v>
      </c>
      <c r="I433" s="604" t="s"/>
      <c r="J433" s="658" t="s"/>
      <c r="K433" s="604" t="s"/>
      <c r="L433" s="638">
        <v>90</v>
      </c>
      <c r="M433" s="604" t="s"/>
      <c r="N433" s="639" t="s"/>
      <c r="O433" s="638" t="s"/>
      <c r="P433" s="433" t="s">
        <f>=IF(O433&gt;0,"逾期","正常")</f>
        <v>32</v>
      </c>
      <c r="Q433" s="640" t="s"/>
      <c r="R433" s="641" t="s"/>
    </row>
    <row r="434" spans="1:18" s="57" customFormat="1">
      <c r="A434" s="606" t="s">
        <v>393</v>
      </c>
      <c r="B434" s="607" t="s">
        <v>32</v>
      </c>
      <c r="C434" s="608" t="s">
        <v>108</v>
      </c>
      <c r="D434" s="609" t="s">
        <v>17</v>
      </c>
      <c r="E434" s="609" t="s">
        <v>18</v>
      </c>
      <c r="F434" s="599">
        <v>45987</v>
      </c>
      <c r="G434" s="610" t="s">
        <v>19</v>
      </c>
      <c r="H434" s="611" t="s">
        <v>309</v>
      </c>
      <c r="I434" s="612">
        <f>=F434</f>
        <v>45987</v>
      </c>
      <c r="J434" s="599">
        <v>45999</v>
      </c>
      <c r="K434" s="599">
        <v>45997</v>
      </c>
      <c r="L434" s="613">
        <f>=J434-I434</f>
        <v>12</v>
      </c>
      <c r="M434" s="599">
        <v>45989</v>
      </c>
      <c r="N434" s="598">
        <f>=M434-I434</f>
        <v>2</v>
      </c>
      <c r="O434" s="614">
        <f>=IF(M434="",TODAY()-J434,M434-J434)</f>
        <v>-10</v>
      </c>
      <c r="P434" s="131" t="s">
        <f>=IF(O434&gt;0,"逾期","正常")</f>
        <v>32</v>
      </c>
      <c r="Q434" s="615" t="s"/>
      <c r="R434" s="616" t="s"/>
    </row>
    <row r="435" spans="1:18" s="57" customFormat="1">
      <c r="A435" s="617" t="s"/>
      <c r="B435" s="618" t="s"/>
      <c r="C435" s="619" t="s"/>
      <c r="D435" s="620" t="s">
        <v>227</v>
      </c>
      <c r="E435" s="621" t="s">
        <v>23</v>
      </c>
      <c r="F435" s="622">
        <f>=F436-F434</f>
        <v>35</v>
      </c>
      <c r="G435" s="479" t="s">
        <v>24</v>
      </c>
      <c r="H435" s="479" t="s">
        <v>50</v>
      </c>
      <c r="I435" s="134">
        <f>=M434</f>
        <v>45989</v>
      </c>
      <c r="J435" s="134">
        <f>=F436</f>
        <v>46022</v>
      </c>
      <c r="K435" s="134">
        <f>=J435</f>
        <v>46022</v>
      </c>
      <c r="L435" s="492">
        <f>=J435-I435</f>
        <v>33</v>
      </c>
      <c r="M435" s="406">
        <v>46029</v>
      </c>
      <c r="N435" s="467">
        <f>=M435-I435</f>
        <v>40</v>
      </c>
      <c r="O435" s="127">
        <f>=IF(M435="",TODAY()-J435,M435-J435)</f>
        <v>7</v>
      </c>
      <c r="P435" s="131" t="s">
        <f>=IF(O435&gt;0,"逾期","正常")</f>
        <v>21</v>
      </c>
      <c r="Q435" s="623" t="s">
        <v>394</v>
      </c>
      <c r="R435" s="624" t="s"/>
    </row>
    <row r="436" spans="1:18" s="57" customFormat="1">
      <c r="A436" s="617" t="s"/>
      <c r="B436" s="618" t="s"/>
      <c r="C436" s="619" t="s"/>
      <c r="D436" s="621" t="s">
        <v>28</v>
      </c>
      <c r="E436" s="621" t="s">
        <v>29</v>
      </c>
      <c r="F436" s="601">
        <v>46022</v>
      </c>
      <c r="G436" s="625" t="s">
        <v>30</v>
      </c>
      <c r="H436" s="625" t="s">
        <v>31</v>
      </c>
      <c r="I436" s="601">
        <f>=M435</f>
        <v>46029</v>
      </c>
      <c r="J436" s="601">
        <f>=I436+L436</f>
        <v>46036</v>
      </c>
      <c r="K436" s="601">
        <f>=J436</f>
        <v>46036</v>
      </c>
      <c r="L436" s="625">
        <v>7</v>
      </c>
      <c r="M436" s="601">
        <v>46031</v>
      </c>
      <c r="N436" s="403">
        <f>=M436-I436</f>
        <v>2</v>
      </c>
      <c r="O436" s="127">
        <f>=IF(M436="",TODAY()-J436,M436-J436)</f>
        <v>-5</v>
      </c>
      <c r="P436" s="131" t="s">
        <f>=IF(O436&gt;0,"逾期","正常")</f>
        <v>32</v>
      </c>
      <c r="Q436" s="623" t="s"/>
      <c r="R436" s="624" t="s"/>
    </row>
    <row r="437" spans="1:18" s="57" customFormat="1">
      <c r="A437" s="617" t="s"/>
      <c r="B437" s="618" t="s"/>
      <c r="C437" s="619" t="s"/>
      <c r="D437" s="626" t="s">
        <v>46</v>
      </c>
      <c r="E437" s="621" t="s">
        <v>34</v>
      </c>
      <c r="F437" s="627">
        <f>=IF(M435="",TODAY()-F434,M435-F434)</f>
        <v>42</v>
      </c>
      <c r="G437" s="625" t="s">
        <v>35</v>
      </c>
      <c r="H437" s="403" t="s">
        <v>110</v>
      </c>
      <c r="I437" s="601">
        <v>46031</v>
      </c>
      <c r="J437" s="601">
        <f>=I437+L437</f>
        <v>46044</v>
      </c>
      <c r="K437" s="601">
        <f>=J437</f>
        <v>46044</v>
      </c>
      <c r="L437" s="625">
        <v>13</v>
      </c>
      <c r="M437" s="601">
        <v>46044</v>
      </c>
      <c r="N437" s="403">
        <f>=M437-I437</f>
        <v>13</v>
      </c>
      <c r="O437" s="127">
        <f>=IF(M437="",TODAY()-J437,M437-J437)</f>
        <v>0</v>
      </c>
      <c r="P437" s="131" t="s">
        <f>=IF(O437&gt;0,"逾期","正常")</f>
        <v>32</v>
      </c>
      <c r="Q437" s="623" t="s"/>
      <c r="R437" s="624" t="s"/>
    </row>
    <row r="438" spans="1:18" s="57" customFormat="1">
      <c r="A438" s="631" t="s"/>
      <c r="B438" s="632" t="s"/>
      <c r="C438" s="633" t="s"/>
      <c r="D438" s="634" t="s">
        <v>36</v>
      </c>
      <c r="E438" s="634" t="s">
        <v>37</v>
      </c>
      <c r="F438" s="635">
        <v>0.9</v>
      </c>
      <c r="G438" s="659" t="s">
        <v>38</v>
      </c>
      <c r="H438" s="660" t="s">
        <f>=D435</f>
        <v>227</v>
      </c>
      <c r="I438" s="661">
        <f>=M437</f>
        <v>46044</v>
      </c>
      <c r="J438" s="661">
        <f>=I438+L438</f>
        <v>46134</v>
      </c>
      <c r="K438" s="661">
        <f>=J438</f>
        <v>46134</v>
      </c>
      <c r="L438" s="662">
        <v>90</v>
      </c>
      <c r="M438" s="661" t="s"/>
      <c r="N438" s="639" t="s"/>
      <c r="O438" s="127">
        <f>=IF(M438="",TODAY()-J438,M438-J438)</f>
        <v>16</v>
      </c>
      <c r="P438" s="433" t="s">
        <f>=IF(O438&gt;0,"逾期","正常")</f>
        <v>21</v>
      </c>
      <c r="Q438" s="640" t="s"/>
      <c r="R438" s="641" t="s"/>
    </row>
    <row r="439" spans="1:18" s="57" customFormat="1">
      <c r="A439" s="606" t="s">
        <v>395</v>
      </c>
      <c r="B439" s="607" t="s">
        <v>32</v>
      </c>
      <c r="C439" s="608" t="s">
        <v>108</v>
      </c>
      <c r="D439" s="609" t="s">
        <v>17</v>
      </c>
      <c r="E439" s="609" t="s">
        <v>18</v>
      </c>
      <c r="F439" s="599">
        <v>45989</v>
      </c>
      <c r="G439" s="610" t="s">
        <v>19</v>
      </c>
      <c r="H439" s="611" t="s">
        <v>63</v>
      </c>
      <c r="I439" s="612">
        <f>=F439</f>
        <v>45989</v>
      </c>
      <c r="J439" s="599">
        <v>46007</v>
      </c>
      <c r="K439" s="599">
        <v>46004</v>
      </c>
      <c r="L439" s="613">
        <f>=J439-I439</f>
        <v>18</v>
      </c>
      <c r="M439" s="599">
        <v>46008</v>
      </c>
      <c r="N439" s="598">
        <f>=M439-I439</f>
        <v>19</v>
      </c>
      <c r="O439" s="614">
        <f>=IF(M439="",TODAY()-J439,M439-J439)</f>
        <v>1</v>
      </c>
      <c r="P439" s="131" t="s">
        <f>=IF(O439&gt;0,"逾期","正常")</f>
        <v>21</v>
      </c>
      <c r="Q439" s="615" t="s">
        <v>396</v>
      </c>
      <c r="R439" s="616" t="s"/>
    </row>
    <row r="440" spans="1:18" s="57" customFormat="1">
      <c r="A440" s="617" t="s"/>
      <c r="B440" s="618" t="s"/>
      <c r="C440" s="619" t="s"/>
      <c r="D440" s="620" t="s">
        <v>65</v>
      </c>
      <c r="E440" s="621" t="s">
        <v>23</v>
      </c>
      <c r="F440" s="622">
        <f>=F441-F439</f>
        <v>46</v>
      </c>
      <c r="G440" s="479" t="s">
        <v>24</v>
      </c>
      <c r="H440" s="479" t="s">
        <v>50</v>
      </c>
      <c r="I440" s="134">
        <f>=M439</f>
        <v>46008</v>
      </c>
      <c r="J440" s="134">
        <f>=F441</f>
        <v>46035</v>
      </c>
      <c r="K440" s="134">
        <f>=J440</f>
        <v>46035</v>
      </c>
      <c r="L440" s="492">
        <f>=J440-I440</f>
        <v>27</v>
      </c>
      <c r="M440" s="406">
        <v>46085</v>
      </c>
      <c r="N440" s="403">
        <f>=M440-I440</f>
        <v>77</v>
      </c>
      <c r="O440" s="127">
        <f>=IF(M440="",TODAY()-J440,M440-J440)</f>
        <v>50</v>
      </c>
      <c r="P440" s="131" t="s">
        <f>=IF(O440&gt;0,"逾期","正常")</f>
        <v>21</v>
      </c>
      <c r="Q440" s="623" t="s">
        <v>397</v>
      </c>
      <c r="R440" s="624" t="s"/>
    </row>
    <row r="441" spans="1:18" s="57" customFormat="1">
      <c r="A441" s="617" t="s"/>
      <c r="B441" s="618" t="s"/>
      <c r="C441" s="619" t="s"/>
      <c r="D441" s="621" t="s">
        <v>28</v>
      </c>
      <c r="E441" s="621" t="s">
        <v>29</v>
      </c>
      <c r="F441" s="601">
        <v>46035</v>
      </c>
      <c r="G441" s="625" t="s">
        <v>30</v>
      </c>
      <c r="H441" s="625" t="s">
        <v>31</v>
      </c>
      <c r="I441" s="601">
        <f>=M440</f>
        <v>46085</v>
      </c>
      <c r="J441" s="601">
        <f>=I441+L441</f>
        <v>46092</v>
      </c>
      <c r="K441" s="601">
        <f>=J441</f>
        <v>46092</v>
      </c>
      <c r="L441" s="625">
        <v>7</v>
      </c>
      <c r="M441" s="601">
        <v>46101</v>
      </c>
      <c r="N441" s="403">
        <f>=M441-I441</f>
        <v>16</v>
      </c>
      <c r="O441" s="127">
        <f>=IF(M441="",TODAY()-J441,M441-J441)</f>
        <v>9</v>
      </c>
      <c r="P441" s="131" t="s">
        <f>=IF(O441&gt;0,"逾期","正常")</f>
        <v>21</v>
      </c>
      <c r="Q441" s="623" t="s">
        <v>398</v>
      </c>
      <c r="R441" s="624" t="s"/>
    </row>
    <row r="442" spans="1:18" s="57" customFormat="1">
      <c r="A442" s="617" t="s"/>
      <c r="B442" s="618" t="s"/>
      <c r="C442" s="619" t="s"/>
      <c r="D442" s="626" t="s">
        <v>51</v>
      </c>
      <c r="E442" s="621" t="s">
        <v>34</v>
      </c>
      <c r="F442" s="627">
        <f>=IF(M440="",TODAY()-F439,M440-F439)</f>
        <v>96</v>
      </c>
      <c r="G442" s="657" t="s">
        <v>35</v>
      </c>
      <c r="H442" s="657" t="s">
        <v>80</v>
      </c>
      <c r="I442" s="603">
        <f>=M441</f>
        <v>46101</v>
      </c>
      <c r="J442" s="603">
        <f>=I442+L442</f>
        <v>46113</v>
      </c>
      <c r="K442" s="603">
        <f>=J442</f>
        <v>46113</v>
      </c>
      <c r="L442" s="657">
        <v>12</v>
      </c>
      <c r="M442" s="603" t="s"/>
      <c r="N442" s="403" t="s"/>
      <c r="O442" s="127">
        <f>=IF(M442="",TODAY()-J442,M442-J442)</f>
        <v>29</v>
      </c>
      <c r="P442" s="131" t="s">
        <f>=IF(O442&gt;0,"逾期","正常")</f>
        <v>21</v>
      </c>
      <c r="Q442" s="623" t="s">
        <v>399</v>
      </c>
      <c r="R442" s="624" t="s"/>
    </row>
    <row r="443" spans="1:18" s="57" customFormat="1">
      <c r="A443" s="631" t="s"/>
      <c r="B443" s="632" t="s"/>
      <c r="C443" s="633" t="s"/>
      <c r="D443" s="634" t="s">
        <v>36</v>
      </c>
      <c r="E443" s="634" t="s">
        <v>37</v>
      </c>
      <c r="F443" s="635">
        <v>0.9</v>
      </c>
      <c r="G443" s="636" t="s">
        <v>38</v>
      </c>
      <c r="H443" s="637" t="s">
        <f>=D440</f>
        <v>65</v>
      </c>
      <c r="I443" s="604" t="s"/>
      <c r="J443" s="604" t="s"/>
      <c r="K443" s="604" t="s"/>
      <c r="L443" s="638">
        <v>90</v>
      </c>
      <c r="M443" s="604" t="s"/>
      <c r="N443" s="639" t="s"/>
      <c r="O443" s="638" t="s"/>
      <c r="P443" s="433" t="s">
        <f>=IF(O443&gt;0,"逾期","正常")</f>
        <v>32</v>
      </c>
      <c r="Q443" s="640" t="s"/>
      <c r="R443" s="641" t="s"/>
    </row>
    <row r="444" spans="1:18" s="57" customFormat="1">
      <c r="A444" s="606" t="s">
        <v>400</v>
      </c>
      <c r="B444" s="607" t="s">
        <v>32</v>
      </c>
      <c r="C444" s="608" t="s">
        <v>210</v>
      </c>
      <c r="D444" s="609" t="s">
        <v>17</v>
      </c>
      <c r="E444" s="609" t="s">
        <v>18</v>
      </c>
      <c r="F444" s="599">
        <v>45989</v>
      </c>
      <c r="G444" s="610" t="s">
        <v>19</v>
      </c>
      <c r="H444" s="611" t="s">
        <v>309</v>
      </c>
      <c r="I444" s="612">
        <f>=F444</f>
        <v>45989</v>
      </c>
      <c r="J444" s="599">
        <v>46007</v>
      </c>
      <c r="K444" s="599">
        <v>46001</v>
      </c>
      <c r="L444" s="613">
        <f>=J444-I444</f>
        <v>18</v>
      </c>
      <c r="M444" s="599">
        <v>46001</v>
      </c>
      <c r="N444" s="598">
        <f>=M444-I444</f>
        <v>12</v>
      </c>
      <c r="O444" s="614">
        <f>=IF(M444="",TODAY()-J444,M444-J444)</f>
        <v>-6</v>
      </c>
      <c r="P444" s="131" t="s">
        <f>=IF(O444&gt;0,"逾期","正常")</f>
        <v>32</v>
      </c>
      <c r="Q444" s="615" t="s"/>
      <c r="R444" s="616" t="s"/>
    </row>
    <row r="445" spans="1:18" s="57" customFormat="1">
      <c r="A445" s="617" t="s"/>
      <c r="B445" s="618" t="s"/>
      <c r="C445" s="619" t="s"/>
      <c r="D445" s="620" t="s">
        <v>128</v>
      </c>
      <c r="E445" s="621" t="s">
        <v>23</v>
      </c>
      <c r="F445" s="622">
        <f>=F446-F444</f>
        <v>35</v>
      </c>
      <c r="G445" s="479" t="s">
        <v>24</v>
      </c>
      <c r="H445" s="479" t="s">
        <v>50</v>
      </c>
      <c r="I445" s="134">
        <f>=M444</f>
        <v>46001</v>
      </c>
      <c r="J445" s="134">
        <f>=F446</f>
        <v>46024</v>
      </c>
      <c r="K445" s="134">
        <f>=J445</f>
        <v>46024</v>
      </c>
      <c r="L445" s="492">
        <f>=J445-I445</f>
        <v>23</v>
      </c>
      <c r="M445" s="406">
        <v>46016</v>
      </c>
      <c r="N445" s="467">
        <f>=M445-I445</f>
        <v>15</v>
      </c>
      <c r="O445" s="127">
        <f>=IF(M445="",TODAY()-J445,M445-J445)</f>
        <v>-8</v>
      </c>
      <c r="P445" s="131" t="s">
        <f>=IF(O445&gt;0,"逾期","正常")</f>
        <v>32</v>
      </c>
      <c r="Q445" s="623" t="s"/>
      <c r="R445" s="624" t="s"/>
    </row>
    <row r="446" spans="1:18" s="57" customFormat="1">
      <c r="A446" s="617" t="s"/>
      <c r="B446" s="618" t="s"/>
      <c r="C446" s="619" t="s"/>
      <c r="D446" s="621" t="s">
        <v>28</v>
      </c>
      <c r="E446" s="621" t="s">
        <v>29</v>
      </c>
      <c r="F446" s="601">
        <v>46024</v>
      </c>
      <c r="G446" s="625" t="s">
        <v>30</v>
      </c>
      <c r="H446" s="625" t="s">
        <v>31</v>
      </c>
      <c r="I446" s="601">
        <f>=M445</f>
        <v>46016</v>
      </c>
      <c r="J446" s="601">
        <f>=I446+L446</f>
        <v>46023</v>
      </c>
      <c r="K446" s="601">
        <f>=J446</f>
        <v>46023</v>
      </c>
      <c r="L446" s="625">
        <v>7</v>
      </c>
      <c r="M446" s="601">
        <v>46025</v>
      </c>
      <c r="N446" s="467">
        <f>=M446-I446</f>
        <v>9</v>
      </c>
      <c r="O446" s="127">
        <f>=IF(M446="",TODAY()-J446,M446-J446)</f>
        <v>2</v>
      </c>
      <c r="P446" s="131" t="s">
        <f>=IF(O446&gt;0,"逾期","正常")</f>
        <v>21</v>
      </c>
      <c r="Q446" s="623" t="s">
        <v>401</v>
      </c>
      <c r="R446" s="624" t="s"/>
    </row>
    <row r="447" spans="1:18" s="57" customFormat="1">
      <c r="A447" s="617" t="s"/>
      <c r="B447" s="618" t="s"/>
      <c r="C447" s="619" t="s"/>
      <c r="D447" s="626" t="s">
        <v>46</v>
      </c>
      <c r="E447" s="621" t="s">
        <v>34</v>
      </c>
      <c r="F447" s="627">
        <f>=IF(M445="",TODAY()-F444,M445-F444)</f>
        <v>27</v>
      </c>
      <c r="G447" s="625" t="s">
        <v>35</v>
      </c>
      <c r="H447" s="625" t="s">
        <v>402</v>
      </c>
      <c r="I447" s="601">
        <f>=M446</f>
        <v>46025</v>
      </c>
      <c r="J447" s="601">
        <f>=I447+L447</f>
        <v>46029</v>
      </c>
      <c r="K447" s="601">
        <f>=J447</f>
        <v>46029</v>
      </c>
      <c r="L447" s="625">
        <v>4</v>
      </c>
      <c r="M447" s="601">
        <v>46034</v>
      </c>
      <c r="N447" s="467">
        <f>=M447-I447</f>
        <v>9</v>
      </c>
      <c r="O447" s="127">
        <f>=IF(M447="",TODAY()-J447,M447-J447)</f>
        <v>5</v>
      </c>
      <c r="P447" s="131" t="s">
        <f>=IF(O447&gt;0,"逾期","正常")</f>
        <v>21</v>
      </c>
      <c r="Q447" s="623" t="s">
        <v>403</v>
      </c>
      <c r="R447" s="624" t="s"/>
    </row>
    <row r="448" spans="1:18" s="57" customFormat="1">
      <c r="A448" s="631" t="s"/>
      <c r="B448" s="632" t="s"/>
      <c r="C448" s="633" t="s"/>
      <c r="D448" s="634" t="s">
        <v>36</v>
      </c>
      <c r="E448" s="634" t="s">
        <v>37</v>
      </c>
      <c r="F448" s="635">
        <v>0.9</v>
      </c>
      <c r="G448" s="663" t="s">
        <v>38</v>
      </c>
      <c r="H448" s="664" t="s">
        <f>=D445</f>
        <v>128</v>
      </c>
      <c r="I448" s="605">
        <f>=M447</f>
        <v>46034</v>
      </c>
      <c r="J448" s="605">
        <f>=I448+L448</f>
        <v>46124</v>
      </c>
      <c r="K448" s="605">
        <f>=J448</f>
        <v>46124</v>
      </c>
      <c r="L448" s="665">
        <v>90</v>
      </c>
      <c r="M448" s="605" t="s"/>
      <c r="N448" s="639" t="s"/>
      <c r="O448" s="127">
        <f>=IF(M448="",TODAY()-J448,M448-J448)</f>
        <v>18</v>
      </c>
      <c r="P448" s="433" t="s">
        <f>=IF(O448&gt;0,"逾期","正常")</f>
        <v>21</v>
      </c>
      <c r="Q448" s="640" t="s"/>
      <c r="R448" s="641" t="s"/>
    </row>
    <row r="449" spans="1:18" s="57" customFormat="1">
      <c r="A449" s="606" t="s">
        <v>404</v>
      </c>
      <c r="B449" s="607" t="s">
        <v>32</v>
      </c>
      <c r="C449" s="608" t="s">
        <v>184</v>
      </c>
      <c r="D449" s="609" t="s">
        <v>17</v>
      </c>
      <c r="E449" s="609" t="s">
        <v>18</v>
      </c>
      <c r="F449" s="599">
        <v>45993</v>
      </c>
      <c r="G449" s="610" t="s">
        <v>19</v>
      </c>
      <c r="H449" s="611" t="s">
        <v>49</v>
      </c>
      <c r="I449" s="612">
        <f>=F449</f>
        <v>45993</v>
      </c>
      <c r="J449" s="599">
        <v>46016</v>
      </c>
      <c r="K449" s="599">
        <v>46011</v>
      </c>
      <c r="L449" s="613">
        <f>=J449-I449</f>
        <v>23</v>
      </c>
      <c r="M449" s="599">
        <v>46010</v>
      </c>
      <c r="N449" s="598">
        <f>=M449-I449</f>
        <v>17</v>
      </c>
      <c r="O449" s="614">
        <f>=IF(M449="",TODAY()-J449,M449-J449)</f>
        <v>-6</v>
      </c>
      <c r="P449" s="131" t="s">
        <f>=IF(O449&gt;0,"逾期","正常")</f>
        <v>32</v>
      </c>
      <c r="Q449" s="615" t="s">
        <v>405</v>
      </c>
      <c r="R449" s="616" t="s"/>
    </row>
    <row r="450" spans="1:18" s="57" customFormat="1">
      <c r="A450" s="617" t="s"/>
      <c r="B450" s="618" t="s"/>
      <c r="C450" s="619" t="s"/>
      <c r="D450" s="620" t="s">
        <v>57</v>
      </c>
      <c r="E450" s="621" t="s">
        <v>23</v>
      </c>
      <c r="F450" s="622">
        <f>=F451-F449</f>
        <v>52</v>
      </c>
      <c r="G450" s="479" t="s">
        <v>24</v>
      </c>
      <c r="H450" s="479" t="s">
        <v>50</v>
      </c>
      <c r="I450" s="134">
        <f>=M449</f>
        <v>46010</v>
      </c>
      <c r="J450" s="134">
        <f>=F451</f>
        <v>46045</v>
      </c>
      <c r="K450" s="134">
        <f>=J450</f>
        <v>46045</v>
      </c>
      <c r="L450" s="492">
        <f>=J450-I450</f>
        <v>35</v>
      </c>
      <c r="M450" s="406">
        <v>46088</v>
      </c>
      <c r="N450" s="467">
        <f>=M450-I450</f>
        <v>78</v>
      </c>
      <c r="O450" s="127">
        <f>=IF(M450="",TODAY()-J450,M450-J450)</f>
        <v>43</v>
      </c>
      <c r="P450" s="131" t="s">
        <f>=IF(O450&gt;0,"逾期","正常")</f>
        <v>21</v>
      </c>
      <c r="Q450" s="623" t="s">
        <v>406</v>
      </c>
      <c r="R450" s="624" t="s"/>
    </row>
    <row r="451" spans="1:18" s="57" customFormat="1">
      <c r="A451" s="617" t="s"/>
      <c r="B451" s="618" t="s"/>
      <c r="C451" s="619" t="s"/>
      <c r="D451" s="621" t="s">
        <v>28</v>
      </c>
      <c r="E451" s="621" t="s">
        <v>29</v>
      </c>
      <c r="F451" s="601">
        <v>46045</v>
      </c>
      <c r="G451" s="625" t="s">
        <v>30</v>
      </c>
      <c r="H451" s="625" t="s">
        <v>31</v>
      </c>
      <c r="I451" s="601">
        <f>=M450</f>
        <v>46088</v>
      </c>
      <c r="J451" s="601">
        <f>=I451+L451</f>
        <v>46095</v>
      </c>
      <c r="K451" s="601">
        <f>=J451</f>
        <v>46095</v>
      </c>
      <c r="L451" s="625">
        <v>7</v>
      </c>
      <c r="M451" s="601">
        <v>46090</v>
      </c>
      <c r="N451" s="467">
        <f>=M451-I451</f>
        <v>2</v>
      </c>
      <c r="O451" s="127">
        <f>=IF(M451="",TODAY()-J451,M451-J451)</f>
        <v>-5</v>
      </c>
      <c r="P451" s="131" t="s">
        <f>=IF(O451&gt;0,"逾期","正常")</f>
        <v>32</v>
      </c>
      <c r="Q451" s="623" t="s"/>
      <c r="R451" s="624" t="s"/>
    </row>
    <row r="452" spans="1:18" s="57" customFormat="1">
      <c r="A452" s="617" t="s"/>
      <c r="B452" s="618" t="s"/>
      <c r="C452" s="619" t="s"/>
      <c r="D452" s="626" t="s">
        <v>33</v>
      </c>
      <c r="E452" s="621" t="s">
        <v>34</v>
      </c>
      <c r="F452" s="627">
        <f>=IF(M450="",TODAY()-F449,M450-F449)</f>
        <v>95</v>
      </c>
      <c r="G452" s="657" t="s">
        <v>35</v>
      </c>
      <c r="H452" s="657" t="s">
        <v>58</v>
      </c>
      <c r="I452" s="603">
        <f>=M451</f>
        <v>46090</v>
      </c>
      <c r="J452" s="603">
        <f>=I452+L452</f>
        <v>46102</v>
      </c>
      <c r="K452" s="603">
        <f>=J452</f>
        <v>46102</v>
      </c>
      <c r="L452" s="657">
        <v>12</v>
      </c>
      <c r="M452" s="603" t="s"/>
      <c r="N452" s="630" t="s"/>
      <c r="O452" s="127">
        <f>=IF(M452="",TODAY()-J452,M452-J452)</f>
        <v>40</v>
      </c>
      <c r="P452" s="131" t="s">
        <f>=IF(O452&gt;0,"逾期","正常")</f>
        <v>21</v>
      </c>
      <c r="Q452" s="623" t="s">
        <v>407</v>
      </c>
      <c r="R452" s="624" t="s"/>
    </row>
    <row r="453" spans="1:18" s="57" customFormat="1">
      <c r="A453" s="631" t="s"/>
      <c r="B453" s="632" t="s"/>
      <c r="C453" s="633" t="s"/>
      <c r="D453" s="634" t="s">
        <v>36</v>
      </c>
      <c r="E453" s="634" t="s">
        <v>37</v>
      </c>
      <c r="F453" s="635">
        <v>0.9</v>
      </c>
      <c r="G453" s="636" t="s">
        <v>38</v>
      </c>
      <c r="H453" s="637" t="s">
        <f>=D450</f>
        <v>57</v>
      </c>
      <c r="I453" s="604" t="s"/>
      <c r="J453" s="604" t="s"/>
      <c r="K453" s="604" t="s"/>
      <c r="L453" s="638">
        <v>90</v>
      </c>
      <c r="M453" s="604" t="s"/>
      <c r="N453" s="639" t="s"/>
      <c r="O453" s="638" t="s"/>
      <c r="P453" s="433" t="s">
        <f>=IF(O453&gt;0,"逾期","正常")</f>
        <v>32</v>
      </c>
      <c r="Q453" s="640" t="s"/>
      <c r="R453" s="641" t="s"/>
    </row>
    <row r="454" spans="1:18" s="57" customFormat="1">
      <c r="A454" s="606" t="s">
        <v>408</v>
      </c>
      <c r="B454" s="607" t="s">
        <v>32</v>
      </c>
      <c r="C454" s="608" t="s">
        <v>409</v>
      </c>
      <c r="D454" s="609" t="s">
        <v>17</v>
      </c>
      <c r="E454" s="609" t="s">
        <v>18</v>
      </c>
      <c r="F454" s="599">
        <v>45995</v>
      </c>
      <c r="G454" s="610" t="s">
        <v>19</v>
      </c>
      <c r="H454" s="611" t="s">
        <v>309</v>
      </c>
      <c r="I454" s="612">
        <f>=F454</f>
        <v>45995</v>
      </c>
      <c r="J454" s="599">
        <v>46013</v>
      </c>
      <c r="K454" s="599">
        <v>46007</v>
      </c>
      <c r="L454" s="613">
        <f>=J454-I454</f>
        <v>18</v>
      </c>
      <c r="M454" s="599">
        <v>46008</v>
      </c>
      <c r="N454" s="598">
        <f>=M454-I454</f>
        <v>13</v>
      </c>
      <c r="O454" s="655">
        <f>=IF(M454="",TODAY()-J454,M454-J454)</f>
        <v>-5</v>
      </c>
      <c r="P454" s="131" t="s">
        <f>=IF(O454&gt;0,"逾期","正常")</f>
        <v>32</v>
      </c>
      <c r="Q454" s="615" t="s"/>
      <c r="R454" s="616" t="s"/>
    </row>
    <row r="455" spans="1:18" s="57" customFormat="1">
      <c r="A455" s="617" t="s"/>
      <c r="B455" s="618" t="s"/>
      <c r="C455" s="619" t="s"/>
      <c r="D455" s="620" t="s">
        <v>72</v>
      </c>
      <c r="E455" s="621" t="s">
        <v>23</v>
      </c>
      <c r="F455" s="622">
        <f>=F456-F454</f>
        <v>35</v>
      </c>
      <c r="G455" s="479" t="s">
        <v>24</v>
      </c>
      <c r="H455" s="479" t="s">
        <v>50</v>
      </c>
      <c r="I455" s="134">
        <f>=M454</f>
        <v>46008</v>
      </c>
      <c r="J455" s="134">
        <f>=F456</f>
        <v>46030</v>
      </c>
      <c r="K455" s="134">
        <f>=J455</f>
        <v>46030</v>
      </c>
      <c r="L455" s="492">
        <f>=J455-I455</f>
        <v>22</v>
      </c>
      <c r="M455" s="406">
        <v>46022</v>
      </c>
      <c r="N455" s="467">
        <f>=M455-I455</f>
        <v>14</v>
      </c>
      <c r="O455" s="127">
        <f>=IF(M455="",TODAY()-J455,M455-J455)</f>
        <v>-8</v>
      </c>
      <c r="P455" s="131" t="s">
        <f>=IF(O455&gt;0,"逾期","正常")</f>
        <v>32</v>
      </c>
      <c r="Q455" s="623" t="s">
        <v>410</v>
      </c>
      <c r="R455" s="624" t="s"/>
    </row>
    <row r="456" spans="1:18" s="57" customFormat="1">
      <c r="A456" s="617" t="s"/>
      <c r="B456" s="618" t="s"/>
      <c r="C456" s="619" t="s"/>
      <c r="D456" s="621" t="s">
        <v>28</v>
      </c>
      <c r="E456" s="621" t="s">
        <v>29</v>
      </c>
      <c r="F456" s="601">
        <v>46030</v>
      </c>
      <c r="G456" s="630" t="s">
        <v>30</v>
      </c>
      <c r="H456" s="630" t="s">
        <v>31</v>
      </c>
      <c r="I456" s="651">
        <f>=M455</f>
        <v>46022</v>
      </c>
      <c r="J456" s="651">
        <f>=I456+L456</f>
        <v>46029</v>
      </c>
      <c r="K456" s="651">
        <f>=J456</f>
        <v>46029</v>
      </c>
      <c r="L456" s="625">
        <v>7</v>
      </c>
      <c r="M456" s="651">
        <v>46026</v>
      </c>
      <c r="N456" s="467">
        <f>=M456-I456</f>
        <v>4</v>
      </c>
      <c r="O456" s="127">
        <f>=IF(M456="",TODAY()-J456,M456-J456)</f>
        <v>-3</v>
      </c>
      <c r="P456" s="131" t="s">
        <f>=IF(O456&gt;0,"逾期","正常")</f>
        <v>32</v>
      </c>
      <c r="Q456" s="623" t="s"/>
      <c r="R456" s="624" t="s"/>
    </row>
    <row r="457" spans="1:18" s="57" customFormat="1">
      <c r="A457" s="617" t="s"/>
      <c r="B457" s="618" t="s"/>
      <c r="C457" s="619" t="s"/>
      <c r="D457" s="626" t="s">
        <v>46</v>
      </c>
      <c r="E457" s="621" t="s">
        <v>34</v>
      </c>
      <c r="F457" s="627">
        <f>=IF(M455="",TODAY()-F454,M455-F454)</f>
        <v>27</v>
      </c>
      <c r="G457" s="625" t="s">
        <v>35</v>
      </c>
      <c r="H457" s="625" t="s">
        <v>120</v>
      </c>
      <c r="I457" s="601">
        <f>=M456</f>
        <v>46026</v>
      </c>
      <c r="J457" s="601">
        <f>=I457+L457</f>
        <v>46034</v>
      </c>
      <c r="K457" s="601">
        <f>=J457</f>
        <v>46034</v>
      </c>
      <c r="L457" s="625">
        <v>8</v>
      </c>
      <c r="M457" s="601">
        <v>46088</v>
      </c>
      <c r="N457" s="467">
        <f>=M457-I457</f>
        <v>62</v>
      </c>
      <c r="O457" s="127">
        <f>=IF(M457="",TODAY()-J457,M457-J457)</f>
        <v>54</v>
      </c>
      <c r="P457" s="131" t="s">
        <f>=IF(O457&gt;0,"逾期","正常")</f>
        <v>21</v>
      </c>
      <c r="Q457" s="623" t="s">
        <v>411</v>
      </c>
      <c r="R457" s="624" t="s"/>
    </row>
    <row r="458" spans="1:18" s="57" customFormat="1">
      <c r="A458" s="631" t="s"/>
      <c r="B458" s="632" t="s"/>
      <c r="C458" s="633" t="s"/>
      <c r="D458" s="634" t="s">
        <v>36</v>
      </c>
      <c r="E458" s="634" t="s">
        <v>37</v>
      </c>
      <c r="F458" s="635">
        <v>0.9467</v>
      </c>
      <c r="G458" s="666" t="s">
        <v>38</v>
      </c>
      <c r="H458" s="667" t="s">
        <f>=D455</f>
        <v>72</v>
      </c>
      <c r="I458" s="668">
        <f>=M457</f>
        <v>46088</v>
      </c>
      <c r="J458" s="668">
        <f>=I458+L458</f>
        <v>46178</v>
      </c>
      <c r="K458" s="668">
        <f>=J458</f>
        <v>46178</v>
      </c>
      <c r="L458" s="669">
        <v>90</v>
      </c>
      <c r="M458" s="668" t="s"/>
      <c r="N458" s="639" t="s"/>
      <c r="O458" s="127">
        <f>=IF(M458="",TODAY()-J458,M458-J458)</f>
        <v>-36</v>
      </c>
      <c r="P458" s="433" t="s">
        <f>=IF(O458&gt;0,"逾期","正常")</f>
        <v>32</v>
      </c>
      <c r="Q458" s="640" t="s"/>
      <c r="R458" s="641" t="s"/>
    </row>
    <row r="459" spans="1:18" s="57" customFormat="1">
      <c r="A459" s="606" t="s">
        <v>412</v>
      </c>
      <c r="B459" s="607" t="s">
        <v>32</v>
      </c>
      <c r="C459" s="608" t="s">
        <v>118</v>
      </c>
      <c r="D459" s="609" t="s">
        <v>17</v>
      </c>
      <c r="E459" s="609" t="s">
        <v>18</v>
      </c>
      <c r="F459" s="599">
        <v>46003</v>
      </c>
      <c r="G459" s="610" t="s">
        <v>19</v>
      </c>
      <c r="H459" s="611" t="s">
        <v>63</v>
      </c>
      <c r="I459" s="612">
        <f>=F459</f>
        <v>46003</v>
      </c>
      <c r="J459" s="599">
        <v>46018</v>
      </c>
      <c r="K459" s="599">
        <v>46015</v>
      </c>
      <c r="L459" s="613">
        <f>=J459-I459</f>
        <v>15</v>
      </c>
      <c r="M459" s="599">
        <v>46026</v>
      </c>
      <c r="N459" s="598">
        <f>=M459-I459</f>
        <v>23</v>
      </c>
      <c r="O459" s="614">
        <f>=IF(M459="",TODAY()-J459,M459-J459)</f>
        <v>8</v>
      </c>
      <c r="P459" s="131" t="s">
        <f>=IF(O459&gt;0,"逾期","正常")</f>
        <v>21</v>
      </c>
      <c r="Q459" s="615" t="s">
        <v>413</v>
      </c>
      <c r="R459" s="616" t="s"/>
    </row>
    <row r="460" spans="1:18" s="57" customFormat="1">
      <c r="A460" s="617" t="s"/>
      <c r="B460" s="618" t="s"/>
      <c r="C460" s="619" t="s"/>
      <c r="D460" s="620" t="s">
        <v>65</v>
      </c>
      <c r="E460" s="621" t="s">
        <v>23</v>
      </c>
      <c r="F460" s="622">
        <f>=F461-F459</f>
        <v>35</v>
      </c>
      <c r="G460" s="479" t="s">
        <v>24</v>
      </c>
      <c r="H460" s="479" t="s">
        <v>50</v>
      </c>
      <c r="I460" s="134">
        <f>=M459</f>
        <v>46026</v>
      </c>
      <c r="J460" s="134">
        <f>=F461</f>
        <v>46038</v>
      </c>
      <c r="K460" s="134">
        <f>=J460</f>
        <v>46038</v>
      </c>
      <c r="L460" s="492">
        <f>=J460-I460</f>
        <v>12</v>
      </c>
      <c r="M460" s="406">
        <v>46029</v>
      </c>
      <c r="N460" s="467">
        <f>=M460-I460</f>
        <v>3</v>
      </c>
      <c r="O460" s="127">
        <f>=IF(M460="",TODAY()-J460,M460-J460)</f>
        <v>-9</v>
      </c>
      <c r="P460" s="131" t="s">
        <f>=IF(O460&gt;0,"逾期","正常")</f>
        <v>32</v>
      </c>
      <c r="Q460" s="623" t="s"/>
      <c r="R460" s="624" t="s"/>
    </row>
    <row r="461" spans="1:18" s="57" customFormat="1">
      <c r="A461" s="617" t="s"/>
      <c r="B461" s="618" t="s"/>
      <c r="C461" s="619" t="s"/>
      <c r="D461" s="621" t="s">
        <v>28</v>
      </c>
      <c r="E461" s="621" t="s">
        <v>29</v>
      </c>
      <c r="F461" s="601">
        <v>46038</v>
      </c>
      <c r="G461" s="630" t="s">
        <v>30</v>
      </c>
      <c r="H461" s="630" t="s">
        <v>31</v>
      </c>
      <c r="I461" s="651">
        <f>=M460</f>
        <v>46029</v>
      </c>
      <c r="J461" s="651">
        <f>=I461+L461</f>
        <v>46036</v>
      </c>
      <c r="K461" s="651">
        <f>=J461</f>
        <v>46036</v>
      </c>
      <c r="L461" s="625">
        <v>7</v>
      </c>
      <c r="M461" s="651">
        <v>46031</v>
      </c>
      <c r="N461" s="467">
        <f>=M461-I461</f>
        <v>2</v>
      </c>
      <c r="O461" s="127">
        <f>=IF(M461="",TODAY()-J461,M461-J461)</f>
        <v>-5</v>
      </c>
      <c r="P461" s="131" t="s">
        <f>=IF(O461&gt;0,"逾期","正常")</f>
        <v>32</v>
      </c>
      <c r="Q461" s="623" t="s"/>
      <c r="R461" s="624" t="s"/>
    </row>
    <row r="462" spans="1:18" s="57" customFormat="1">
      <c r="A462" s="617" t="s"/>
      <c r="B462" s="618" t="s"/>
      <c r="C462" s="619" t="s"/>
      <c r="D462" s="626" t="s">
        <v>51</v>
      </c>
      <c r="E462" s="621" t="s">
        <v>34</v>
      </c>
      <c r="F462" s="627">
        <f>=IF(M460="",TODAY()-F459,M460-F459)</f>
        <v>26</v>
      </c>
      <c r="G462" s="625" t="s">
        <v>35</v>
      </c>
      <c r="H462" s="625" t="s">
        <v>224</v>
      </c>
      <c r="I462" s="601">
        <f>=M461</f>
        <v>46031</v>
      </c>
      <c r="J462" s="601">
        <f>=I462+L462</f>
        <v>46051</v>
      </c>
      <c r="K462" s="601">
        <f>=J462</f>
        <v>46051</v>
      </c>
      <c r="L462" s="625">
        <v>20</v>
      </c>
      <c r="M462" s="601">
        <v>46052</v>
      </c>
      <c r="N462" s="467">
        <f>=M462-I462</f>
        <v>21</v>
      </c>
      <c r="O462" s="127">
        <f>=IF(M462="",TODAY()-J462,M462-J462)</f>
        <v>1</v>
      </c>
      <c r="P462" s="131" t="s">
        <f>=IF(O462&gt;0,"逾期","正常")</f>
        <v>21</v>
      </c>
      <c r="Q462" s="623" t="s">
        <v>414</v>
      </c>
      <c r="R462" s="624" t="s"/>
    </row>
    <row r="463" spans="1:18" s="57" customFormat="1">
      <c r="A463" s="631" t="s"/>
      <c r="B463" s="632" t="s"/>
      <c r="C463" s="633" t="s"/>
      <c r="D463" s="634" t="s">
        <v>36</v>
      </c>
      <c r="E463" s="634" t="s">
        <v>37</v>
      </c>
      <c r="F463" s="635">
        <v>0.2</v>
      </c>
      <c r="G463" s="666" t="s">
        <v>38</v>
      </c>
      <c r="H463" s="667" t="s">
        <f>=D460</f>
        <v>65</v>
      </c>
      <c r="I463" s="668">
        <f>=M462</f>
        <v>46052</v>
      </c>
      <c r="J463" s="668">
        <f>=I463+L463</f>
        <v>46142</v>
      </c>
      <c r="K463" s="668">
        <f>=J463</f>
        <v>46142</v>
      </c>
      <c r="L463" s="669">
        <v>90</v>
      </c>
      <c r="M463" s="668" t="s"/>
      <c r="N463" s="639" t="s"/>
      <c r="O463" s="127">
        <f>=IF(M463="",TODAY()-J463,M463-J463)</f>
        <v>0</v>
      </c>
      <c r="P463" s="433" t="s">
        <f>=IF(O463&gt;0,"逾期","正常")</f>
        <v>32</v>
      </c>
      <c r="Q463" s="640" t="s"/>
      <c r="R463" s="641" t="s"/>
    </row>
    <row r="464" spans="1:18" s="57" customFormat="1">
      <c r="A464" s="606" t="s">
        <v>415</v>
      </c>
      <c r="B464" s="607" t="s">
        <v>32</v>
      </c>
      <c r="C464" s="608" t="s">
        <v>108</v>
      </c>
      <c r="D464" s="609" t="s">
        <v>17</v>
      </c>
      <c r="E464" s="609" t="s">
        <v>18</v>
      </c>
      <c r="F464" s="599">
        <v>46003</v>
      </c>
      <c r="G464" s="610" t="s">
        <v>19</v>
      </c>
      <c r="H464" s="611" t="s">
        <v>49</v>
      </c>
      <c r="I464" s="612">
        <f>=F464</f>
        <v>46003</v>
      </c>
      <c r="J464" s="599">
        <v>46018</v>
      </c>
      <c r="K464" s="599">
        <v>46015</v>
      </c>
      <c r="L464" s="613">
        <f>=J464-I464</f>
        <v>15</v>
      </c>
      <c r="M464" s="599">
        <v>46031</v>
      </c>
      <c r="N464" s="598">
        <f>=M464-I464</f>
        <v>28</v>
      </c>
      <c r="O464" s="614">
        <f>=IF(M464="",TODAY()-J464,M464-J464)</f>
        <v>13</v>
      </c>
      <c r="P464" s="131" t="s">
        <f>=IF(O464&gt;0,"逾期","正常")</f>
        <v>21</v>
      </c>
      <c r="Q464" s="615" t="s">
        <v>416</v>
      </c>
      <c r="R464" s="616" t="s"/>
    </row>
    <row r="465" spans="1:18" s="57" customFormat="1">
      <c r="A465" s="617" t="s"/>
      <c r="B465" s="618" t="s"/>
      <c r="C465" s="619" t="s"/>
      <c r="D465" s="620" t="s">
        <v>22</v>
      </c>
      <c r="E465" s="621" t="s">
        <v>23</v>
      </c>
      <c r="F465" s="622">
        <f>=F466-F464</f>
        <v>35</v>
      </c>
      <c r="G465" s="479" t="s">
        <v>24</v>
      </c>
      <c r="H465" s="479" t="s">
        <v>50</v>
      </c>
      <c r="I465" s="134">
        <f>=M464</f>
        <v>46031</v>
      </c>
      <c r="J465" s="134">
        <f>=F466</f>
        <v>46038</v>
      </c>
      <c r="K465" s="134">
        <f>=J465</f>
        <v>46038</v>
      </c>
      <c r="L465" s="492">
        <f>=J465-I465</f>
        <v>7</v>
      </c>
      <c r="M465" s="406">
        <v>46055</v>
      </c>
      <c r="N465" s="467">
        <f>=M465-I465</f>
        <v>24</v>
      </c>
      <c r="O465" s="127">
        <f>=IF(M465="",TODAY()-J465,M465-J465)</f>
        <v>17</v>
      </c>
      <c r="P465" s="131" t="s">
        <f>=IF(O465&gt;0,"逾期","正常")</f>
        <v>21</v>
      </c>
      <c r="Q465" s="623" t="s">
        <v>417</v>
      </c>
      <c r="R465" s="624" t="s"/>
    </row>
    <row r="466" spans="1:18" s="57" customFormat="1">
      <c r="A466" s="617" t="s"/>
      <c r="B466" s="618" t="s"/>
      <c r="C466" s="619" t="s"/>
      <c r="D466" s="621" t="s">
        <v>28</v>
      </c>
      <c r="E466" s="621" t="s">
        <v>29</v>
      </c>
      <c r="F466" s="601">
        <v>46038</v>
      </c>
      <c r="G466" s="625" t="s">
        <v>30</v>
      </c>
      <c r="H466" s="625" t="s">
        <v>31</v>
      </c>
      <c r="I466" s="601">
        <f>=M465</f>
        <v>46055</v>
      </c>
      <c r="J466" s="601">
        <f>=I466+L466</f>
        <v>46062</v>
      </c>
      <c r="K466" s="601">
        <f>=J466</f>
        <v>46062</v>
      </c>
      <c r="L466" s="625">
        <v>7</v>
      </c>
      <c r="M466" s="601">
        <v>46080</v>
      </c>
      <c r="N466" s="467">
        <f>=M466-I466</f>
        <v>25</v>
      </c>
      <c r="O466" s="127">
        <f>=IF(M466="",TODAY()-J466,M466-J466)</f>
        <v>18</v>
      </c>
      <c r="P466" s="131" t="s">
        <f>=IF(O466&gt;0,"逾期","正常")</f>
        <v>21</v>
      </c>
      <c r="Q466" s="623" t="s">
        <v>418</v>
      </c>
      <c r="R466" s="624" t="s"/>
    </row>
    <row r="467" spans="1:18" s="57" customFormat="1">
      <c r="A467" s="617" t="s"/>
      <c r="B467" s="618" t="s"/>
      <c r="C467" s="619" t="s"/>
      <c r="D467" s="626" t="s">
        <v>51</v>
      </c>
      <c r="E467" s="621" t="s">
        <v>34</v>
      </c>
      <c r="F467" s="627">
        <f>=IF(M465="",TODAY()-F464,M465-F464)</f>
        <v>52</v>
      </c>
      <c r="G467" s="625" t="s">
        <v>35</v>
      </c>
      <c r="H467" s="625" t="s">
        <v>138</v>
      </c>
      <c r="I467" s="601">
        <f>=M466</f>
        <v>46080</v>
      </c>
      <c r="J467" s="601">
        <f>=I467+L467</f>
        <v>46095</v>
      </c>
      <c r="K467" s="601">
        <f>=J467</f>
        <v>46095</v>
      </c>
      <c r="L467" s="625">
        <v>15</v>
      </c>
      <c r="M467" s="601">
        <v>46139</v>
      </c>
      <c r="N467" s="467">
        <f>=M467-I467</f>
        <v>59</v>
      </c>
      <c r="O467" s="127">
        <f>=IF(M467="",TODAY()-J467,M467-J467)</f>
        <v>44</v>
      </c>
      <c r="P467" s="131" t="s">
        <f>=IF(O467&gt;0,"逾期","正常")</f>
        <v>21</v>
      </c>
      <c r="Q467" s="623" t="s">
        <v>419</v>
      </c>
      <c r="R467" s="624" t="s"/>
    </row>
    <row r="468" spans="1:18" s="57" customFormat="1">
      <c r="A468" s="631" t="s"/>
      <c r="B468" s="632" t="s"/>
      <c r="C468" s="633" t="s"/>
      <c r="D468" s="634" t="s">
        <v>36</v>
      </c>
      <c r="E468" s="634" t="s">
        <v>37</v>
      </c>
      <c r="F468" s="635">
        <v>0.6</v>
      </c>
      <c r="G468" s="666" t="s">
        <v>38</v>
      </c>
      <c r="H468" s="667" t="s">
        <f>=D465</f>
        <v>22</v>
      </c>
      <c r="I468" s="668">
        <f>=M467</f>
        <v>46139</v>
      </c>
      <c r="J468" s="668">
        <f>=I468+L468</f>
        <v>46229</v>
      </c>
      <c r="K468" s="668">
        <f>=J468</f>
        <v>46229</v>
      </c>
      <c r="L468" s="669">
        <v>90</v>
      </c>
      <c r="M468" s="668" t="s"/>
      <c r="N468" s="639" t="s"/>
      <c r="O468" s="127">
        <f>=IF(M468="",TODAY()-J468,M468-J468)</f>
        <v>-79</v>
      </c>
      <c r="P468" s="433" t="s">
        <f>=IF(O468&gt;0,"逾期","正常")</f>
        <v>32</v>
      </c>
      <c r="Q468" s="640" t="s"/>
      <c r="R468" s="641" t="s"/>
    </row>
    <row r="469" spans="1:18" s="57" customFormat="1">
      <c r="A469" s="606" t="s">
        <v>420</v>
      </c>
      <c r="B469" s="607" t="s">
        <v>32</v>
      </c>
      <c r="C469" s="608" t="s">
        <v>89</v>
      </c>
      <c r="D469" s="609" t="s">
        <v>17</v>
      </c>
      <c r="E469" s="609" t="s">
        <v>18</v>
      </c>
      <c r="F469" s="599">
        <v>46009</v>
      </c>
      <c r="G469" s="610" t="s">
        <v>19</v>
      </c>
      <c r="H469" s="670" t="s">
        <v>49</v>
      </c>
      <c r="I469" s="612">
        <f>=F469</f>
        <v>46009</v>
      </c>
      <c r="J469" s="599">
        <v>46029</v>
      </c>
      <c r="K469" s="599">
        <v>46024</v>
      </c>
      <c r="L469" s="613">
        <f>=J469-I469</f>
        <v>20</v>
      </c>
      <c r="M469" s="599">
        <v>46020</v>
      </c>
      <c r="N469" s="598">
        <f>=M469-I469</f>
        <v>11</v>
      </c>
      <c r="O469" s="614">
        <f>=IF(M469="",TODAY()-J469,M469-J469)</f>
        <v>-9</v>
      </c>
      <c r="P469" s="131" t="s">
        <f>=IF(O469&gt;0,"逾期","正常")</f>
        <v>32</v>
      </c>
      <c r="Q469" s="615" t="s">
        <v>421</v>
      </c>
      <c r="R469" s="616" t="s"/>
    </row>
    <row r="470" spans="1:18" s="57" customFormat="1">
      <c r="A470" s="617" t="s"/>
      <c r="B470" s="618" t="s"/>
      <c r="C470" s="619" t="s"/>
      <c r="D470" s="620" t="s">
        <v>42</v>
      </c>
      <c r="E470" s="621" t="s">
        <v>23</v>
      </c>
      <c r="F470" s="622">
        <f>=F471-F469</f>
        <v>45</v>
      </c>
      <c r="G470" s="479" t="s">
        <v>24</v>
      </c>
      <c r="H470" s="671" t="s">
        <v>50</v>
      </c>
      <c r="I470" s="134">
        <f>=M469</f>
        <v>46020</v>
      </c>
      <c r="J470" s="134">
        <f>=F471</f>
        <v>46054</v>
      </c>
      <c r="K470" s="134">
        <f>=J470</f>
        <v>46054</v>
      </c>
      <c r="L470" s="492">
        <f>=J470-I470</f>
        <v>34</v>
      </c>
      <c r="M470" s="406">
        <v>46092</v>
      </c>
      <c r="N470" s="467">
        <f>=M470-I470</f>
        <v>72</v>
      </c>
      <c r="O470" s="127">
        <f>=IF(M470="",TODAY()-J470,M470-J470)</f>
        <v>38</v>
      </c>
      <c r="P470" s="131" t="s">
        <f>=IF(O470&gt;0,"逾期","正常")</f>
        <v>21</v>
      </c>
      <c r="Q470" s="623" t="s">
        <v>422</v>
      </c>
      <c r="R470" s="624" t="s"/>
    </row>
    <row r="471" spans="1:18" s="57" customFormat="1">
      <c r="A471" s="617" t="s"/>
      <c r="B471" s="618" t="s"/>
      <c r="C471" s="619" t="s"/>
      <c r="D471" s="621" t="s">
        <v>28</v>
      </c>
      <c r="E471" s="621" t="s">
        <v>29</v>
      </c>
      <c r="F471" s="601">
        <v>46054</v>
      </c>
      <c r="G471" s="625" t="s">
        <v>30</v>
      </c>
      <c r="H471" s="672" t="s">
        <v>31</v>
      </c>
      <c r="I471" s="601">
        <f>=M470</f>
        <v>46092</v>
      </c>
      <c r="J471" s="601">
        <f>=I471+L471</f>
        <v>46099</v>
      </c>
      <c r="K471" s="601">
        <f>=J471</f>
        <v>46099</v>
      </c>
      <c r="L471" s="625">
        <v>7</v>
      </c>
      <c r="M471" s="601">
        <v>46094</v>
      </c>
      <c r="N471" s="467">
        <f>=M471-I471</f>
        <v>2</v>
      </c>
      <c r="O471" s="127">
        <f>=IF(M471="",TODAY()-J471,M471-J471)</f>
        <v>-5</v>
      </c>
      <c r="P471" s="131" t="s">
        <f>=IF(O471&gt;0,"逾期","正常")</f>
        <v>32</v>
      </c>
      <c r="Q471" s="623" t="s"/>
      <c r="R471" s="624" t="s"/>
    </row>
    <row r="472" spans="1:18" s="57" customFormat="1">
      <c r="A472" s="617" t="s"/>
      <c r="B472" s="618" t="s"/>
      <c r="C472" s="619" t="s"/>
      <c r="D472" s="626" t="s">
        <v>46</v>
      </c>
      <c r="E472" s="621" t="s">
        <v>34</v>
      </c>
      <c r="F472" s="627">
        <f>=IF(M470="",TODAY()-F469,M470-F469)</f>
        <v>83</v>
      </c>
      <c r="G472" s="625" t="s">
        <v>35</v>
      </c>
      <c r="H472" s="672" t="s">
        <v>423</v>
      </c>
      <c r="I472" s="601">
        <f>=M471</f>
        <v>46094</v>
      </c>
      <c r="J472" s="601">
        <f>=I472+L472</f>
        <v>46097</v>
      </c>
      <c r="K472" s="601">
        <f>=J472</f>
        <v>46097</v>
      </c>
      <c r="L472" s="625">
        <v>3</v>
      </c>
      <c r="M472" s="601">
        <v>46104</v>
      </c>
      <c r="N472" s="467">
        <f>=M472-I472</f>
        <v>10</v>
      </c>
      <c r="O472" s="127">
        <f>=IF(M472="",TODAY()-J472,M472-J472)</f>
        <v>7</v>
      </c>
      <c r="P472" s="131" t="s">
        <f>=IF(O472&gt;0,"逾期","正常")</f>
        <v>21</v>
      </c>
      <c r="Q472" s="623" t="s">
        <v>424</v>
      </c>
      <c r="R472" s="624" t="s"/>
    </row>
    <row r="473" spans="1:18" s="57" customFormat="1">
      <c r="A473" s="631" t="s"/>
      <c r="B473" s="632" t="s"/>
      <c r="C473" s="633" t="s"/>
      <c r="D473" s="634" t="s">
        <v>36</v>
      </c>
      <c r="E473" s="634" t="s">
        <v>37</v>
      </c>
      <c r="F473" s="635">
        <v>0.9</v>
      </c>
      <c r="G473" s="666" t="s">
        <v>38</v>
      </c>
      <c r="H473" s="673" t="s">
        <f>=D470</f>
        <v>42</v>
      </c>
      <c r="I473" s="668">
        <f>=M472</f>
        <v>46104</v>
      </c>
      <c r="J473" s="668">
        <f>=I473+L473</f>
        <v>46194</v>
      </c>
      <c r="K473" s="668">
        <f>=J473</f>
        <v>46194</v>
      </c>
      <c r="L473" s="669">
        <v>90</v>
      </c>
      <c r="M473" s="668" t="s"/>
      <c r="N473" s="639" t="s"/>
      <c r="O473" s="127">
        <f>=IF(M473="",TODAY()-J473,M473-J473)</f>
        <v>-52</v>
      </c>
      <c r="P473" s="433" t="s">
        <f>=IF(O473&gt;0,"逾期","正常")</f>
        <v>32</v>
      </c>
      <c r="Q473" s="640" t="s"/>
      <c r="R473" s="641" t="s"/>
    </row>
    <row r="474" spans="1:18" s="57" customFormat="1">
      <c r="A474" s="606" t="s">
        <v>425</v>
      </c>
      <c r="B474" s="607" t="s">
        <v>32</v>
      </c>
      <c r="C474" s="608" t="s">
        <v>426</v>
      </c>
      <c r="D474" s="609" t="s">
        <v>17</v>
      </c>
      <c r="E474" s="609" t="s">
        <v>18</v>
      </c>
      <c r="F474" s="599">
        <v>46013</v>
      </c>
      <c r="G474" s="610" t="s">
        <v>19</v>
      </c>
      <c r="H474" s="670" t="s">
        <v>41</v>
      </c>
      <c r="I474" s="612">
        <f>=F474</f>
        <v>46013</v>
      </c>
      <c r="J474" s="599">
        <v>46043</v>
      </c>
      <c r="K474" s="599">
        <v>46038</v>
      </c>
      <c r="L474" s="613">
        <f>=J474-I474</f>
        <v>30</v>
      </c>
      <c r="M474" s="599">
        <v>46050</v>
      </c>
      <c r="N474" s="598">
        <f>=M474-I474</f>
        <v>37</v>
      </c>
      <c r="O474" s="655">
        <f>=IF(M474="",TODAY()-J474,M474-J474)</f>
        <v>7</v>
      </c>
      <c r="P474" s="131" t="s">
        <f>=IF(O474&gt;0,"逾期","正常")</f>
        <v>21</v>
      </c>
      <c r="Q474" s="615" t="s">
        <v>427</v>
      </c>
      <c r="R474" s="616" t="s"/>
    </row>
    <row r="475" spans="1:18" s="57" customFormat="1">
      <c r="A475" s="617" t="s"/>
      <c r="B475" s="618" t="s"/>
      <c r="C475" s="619" t="s"/>
      <c r="D475" s="620" t="s">
        <v>145</v>
      </c>
      <c r="E475" s="621" t="s">
        <v>23</v>
      </c>
      <c r="F475" s="622">
        <f>=F476-F474</f>
        <v>70</v>
      </c>
      <c r="G475" s="500" t="s">
        <v>24</v>
      </c>
      <c r="H475" s="674" t="s">
        <v>50</v>
      </c>
      <c r="I475" s="155">
        <f>=M474</f>
        <v>46050</v>
      </c>
      <c r="J475" s="155">
        <f>=F476</f>
        <v>46083</v>
      </c>
      <c r="K475" s="155">
        <f>=J475</f>
        <v>46083</v>
      </c>
      <c r="L475" s="501">
        <f>=J475-I475</f>
        <v>33</v>
      </c>
      <c r="M475" s="502">
        <v>46099</v>
      </c>
      <c r="N475" s="467">
        <f>=M475-I475</f>
        <v>49</v>
      </c>
      <c r="O475" s="127">
        <f>=IF(M475="",TODAY()-J475,M475-J475)</f>
        <v>16</v>
      </c>
      <c r="P475" s="131" t="s">
        <f>=IF(O475&gt;0,"逾期","正常")</f>
        <v>21</v>
      </c>
      <c r="Q475" s="623" t="s">
        <v>428</v>
      </c>
      <c r="R475" s="624" t="s"/>
    </row>
    <row r="476" spans="1:18" s="57" customFormat="1">
      <c r="A476" s="617" t="s"/>
      <c r="B476" s="618" t="s"/>
      <c r="C476" s="619" t="s"/>
      <c r="D476" s="621" t="s">
        <v>28</v>
      </c>
      <c r="E476" s="621" t="s">
        <v>29</v>
      </c>
      <c r="F476" s="601">
        <v>46083</v>
      </c>
      <c r="G476" s="630" t="s">
        <v>30</v>
      </c>
      <c r="H476" s="675" t="s">
        <v>31</v>
      </c>
      <c r="I476" s="651">
        <f>=M475</f>
        <v>46099</v>
      </c>
      <c r="J476" s="651">
        <f>=I476+L476</f>
        <v>46106</v>
      </c>
      <c r="K476" s="651">
        <f>=J476</f>
        <v>46106</v>
      </c>
      <c r="L476" s="625">
        <v>7</v>
      </c>
      <c r="M476" s="651">
        <v>46102</v>
      </c>
      <c r="N476" s="467">
        <f>=M476-I476</f>
        <v>3</v>
      </c>
      <c r="O476" s="127">
        <f>=IF(M476="",TODAY()-J476,M476-J476)</f>
        <v>-4</v>
      </c>
      <c r="P476" s="131" t="s">
        <f>=IF(O476&gt;0,"逾期","正常")</f>
        <v>32</v>
      </c>
      <c r="Q476" s="623" t="s"/>
      <c r="R476" s="624" t="s"/>
    </row>
    <row r="477" spans="1:18" s="57" customFormat="1">
      <c r="A477" s="617" t="s"/>
      <c r="B477" s="618" t="s"/>
      <c r="C477" s="619" t="s"/>
      <c r="D477" s="626" t="s">
        <v>51</v>
      </c>
      <c r="E477" s="621" t="s">
        <v>34</v>
      </c>
      <c r="F477" s="627">
        <f>=IF(M475="",TODAY()-F474,M475-F474)</f>
        <v>86</v>
      </c>
      <c r="G477" s="657" t="s">
        <v>35</v>
      </c>
      <c r="H477" s="676" t="s">
        <v>143</v>
      </c>
      <c r="I477" s="603">
        <f>=M476</f>
        <v>46102</v>
      </c>
      <c r="J477" s="603">
        <f>=I477+L477</f>
        <v>46109</v>
      </c>
      <c r="K477" s="603">
        <f>=J477</f>
        <v>46109</v>
      </c>
      <c r="L477" s="657">
        <v>7</v>
      </c>
      <c r="M477" s="603" t="s"/>
      <c r="N477" s="630" t="s"/>
      <c r="O477" s="127">
        <f>=IF(M477="",TODAY()-J477,M477-J477)</f>
        <v>33</v>
      </c>
      <c r="P477" s="131" t="s">
        <f>=IF(O477&gt;0,"逾期","正常")</f>
        <v>21</v>
      </c>
      <c r="Q477" s="623" t="s">
        <v>429</v>
      </c>
      <c r="R477" s="624" t="s"/>
    </row>
    <row r="478" spans="1:18" s="57" customFormat="1">
      <c r="A478" s="631" t="s"/>
      <c r="B478" s="632" t="s"/>
      <c r="C478" s="633" t="s"/>
      <c r="D478" s="634" t="s">
        <v>36</v>
      </c>
      <c r="E478" s="634" t="s">
        <v>37</v>
      </c>
      <c r="F478" s="635">
        <v>0.9</v>
      </c>
      <c r="G478" s="636" t="s">
        <v>38</v>
      </c>
      <c r="H478" s="677" t="s">
        <f>=D475</f>
        <v>145</v>
      </c>
      <c r="I478" s="604" t="s"/>
      <c r="J478" s="604" t="s"/>
      <c r="K478" s="604" t="s"/>
      <c r="L478" s="638">
        <v>90</v>
      </c>
      <c r="M478" s="604" t="s"/>
      <c r="N478" s="639" t="s"/>
      <c r="O478" s="638" t="s"/>
      <c r="P478" s="433" t="s">
        <f>=IF(O478&gt;0,"逾期","正常")</f>
        <v>32</v>
      </c>
      <c r="Q478" s="640" t="s"/>
      <c r="R478" s="641" t="s"/>
    </row>
    <row r="479" spans="1:18" s="57" customFormat="1">
      <c r="A479" s="606" t="s">
        <v>430</v>
      </c>
      <c r="B479" s="607" t="s">
        <v>32</v>
      </c>
      <c r="C479" s="608" t="s">
        <v>431</v>
      </c>
      <c r="D479" s="609" t="s">
        <v>17</v>
      </c>
      <c r="E479" s="609" t="s">
        <v>18</v>
      </c>
      <c r="F479" s="599">
        <v>46013</v>
      </c>
      <c r="G479" s="610" t="s">
        <v>19</v>
      </c>
      <c r="H479" s="670" t="s">
        <v>309</v>
      </c>
      <c r="I479" s="612">
        <f>=F479</f>
        <v>46013</v>
      </c>
      <c r="J479" s="599">
        <v>46023</v>
      </c>
      <c r="K479" s="599">
        <v>46021</v>
      </c>
      <c r="L479" s="613">
        <f>=J479-I479</f>
        <v>10</v>
      </c>
      <c r="M479" s="599">
        <v>46022</v>
      </c>
      <c r="N479" s="598">
        <f>=M479-I479</f>
        <v>9</v>
      </c>
      <c r="O479" s="655">
        <f>=IF(M479="",TODAY()-J479,M479-J479)</f>
        <v>-1</v>
      </c>
      <c r="P479" s="131" t="s">
        <f>=IF(O479&gt;0,"逾期","正常")</f>
        <v>32</v>
      </c>
      <c r="Q479" s="615" t="s"/>
      <c r="R479" s="616" t="s"/>
    </row>
    <row r="480" spans="1:18" s="57" customFormat="1">
      <c r="A480" s="617" t="s"/>
      <c r="B480" s="618" t="s"/>
      <c r="C480" s="619" t="s"/>
      <c r="D480" s="620" t="s">
        <v>42</v>
      </c>
      <c r="E480" s="621" t="s">
        <v>23</v>
      </c>
      <c r="F480" s="622">
        <f>=F481-F479</f>
        <v>30</v>
      </c>
      <c r="G480" s="479" t="s">
        <v>24</v>
      </c>
      <c r="H480" s="671" t="s">
        <v>50</v>
      </c>
      <c r="I480" s="134">
        <f>=M479</f>
        <v>46022</v>
      </c>
      <c r="J480" s="134">
        <f>=F481</f>
        <v>46043</v>
      </c>
      <c r="K480" s="134">
        <f>=J480</f>
        <v>46043</v>
      </c>
      <c r="L480" s="492">
        <f>=J480-I480</f>
        <v>21</v>
      </c>
      <c r="M480" s="406">
        <v>46044</v>
      </c>
      <c r="N480" s="467">
        <f>=M480-I480</f>
        <v>22</v>
      </c>
      <c r="O480" s="127">
        <f>=IF(M480="",TODAY()-J480,M480-J480)</f>
        <v>1</v>
      </c>
      <c r="P480" s="131" t="s">
        <f>=IF(O480&gt;0,"逾期","正常")</f>
        <v>21</v>
      </c>
      <c r="Q480" s="623" t="s">
        <v>432</v>
      </c>
      <c r="R480" s="624" t="s"/>
    </row>
    <row r="481" spans="1:18" s="57" customFormat="1">
      <c r="A481" s="617" t="s"/>
      <c r="B481" s="618" t="s"/>
      <c r="C481" s="619" t="s"/>
      <c r="D481" s="621" t="s">
        <v>28</v>
      </c>
      <c r="E481" s="621" t="s">
        <v>29</v>
      </c>
      <c r="F481" s="601">
        <v>46043</v>
      </c>
      <c r="G481" s="630" t="s">
        <v>30</v>
      </c>
      <c r="H481" s="675" t="s">
        <v>31</v>
      </c>
      <c r="I481" s="651">
        <f>=M480</f>
        <v>46044</v>
      </c>
      <c r="J481" s="651">
        <f>=I481+L481</f>
        <v>46051</v>
      </c>
      <c r="K481" s="651">
        <f>=J481</f>
        <v>46051</v>
      </c>
      <c r="L481" s="625">
        <v>7</v>
      </c>
      <c r="M481" s="651">
        <v>46048</v>
      </c>
      <c r="N481" s="467">
        <f>=M481-I481</f>
        <v>4</v>
      </c>
      <c r="O481" s="127">
        <f>=IF(M481="",TODAY()-J481,M481-J481)</f>
        <v>-3</v>
      </c>
      <c r="P481" s="131" t="s">
        <f>=IF(O481&gt;0,"逾期","正常")</f>
        <v>32</v>
      </c>
      <c r="Q481" s="623" t="s"/>
      <c r="R481" s="624" t="s"/>
    </row>
    <row r="482" spans="1:18" s="57" customFormat="1">
      <c r="A482" s="617" t="s"/>
      <c r="B482" s="618" t="s"/>
      <c r="C482" s="619" t="s"/>
      <c r="D482" s="626" t="s">
        <v>51</v>
      </c>
      <c r="E482" s="621" t="s">
        <v>34</v>
      </c>
      <c r="F482" s="627">
        <f>=IF(M480="",TODAY()-F479,M480-F479)</f>
        <v>31</v>
      </c>
      <c r="G482" s="657" t="s">
        <v>35</v>
      </c>
      <c r="H482" s="676" t="s">
        <v>402</v>
      </c>
      <c r="I482" s="603">
        <f>=M481</f>
        <v>46048</v>
      </c>
      <c r="J482" s="603">
        <f>=I482+L482</f>
        <v>46055</v>
      </c>
      <c r="K482" s="603">
        <f>=J482</f>
        <v>46055</v>
      </c>
      <c r="L482" s="657">
        <v>7</v>
      </c>
      <c r="M482" s="603" t="s"/>
      <c r="N482" s="630" t="s"/>
      <c r="O482" s="127">
        <f>=IF(M482="",TODAY()-J482,M482-J482)</f>
        <v>87</v>
      </c>
      <c r="P482" s="131" t="s">
        <f>=IF(O482&gt;0,"逾期","正常")</f>
        <v>21</v>
      </c>
      <c r="Q482" s="623" t="s">
        <v>433</v>
      </c>
      <c r="R482" s="624" t="s"/>
    </row>
    <row r="483" spans="1:18" s="57" customFormat="1">
      <c r="A483" s="631" t="s"/>
      <c r="B483" s="632" t="s"/>
      <c r="C483" s="633" t="s"/>
      <c r="D483" s="634" t="s">
        <v>36</v>
      </c>
      <c r="E483" s="634" t="s">
        <v>37</v>
      </c>
      <c r="F483" s="635">
        <v>0.9</v>
      </c>
      <c r="G483" s="636" t="s">
        <v>38</v>
      </c>
      <c r="H483" s="677" t="s">
        <f>=D480</f>
        <v>42</v>
      </c>
      <c r="I483" s="604" t="s"/>
      <c r="J483" s="604" t="s"/>
      <c r="K483" s="604" t="s"/>
      <c r="L483" s="638">
        <v>90</v>
      </c>
      <c r="M483" s="604" t="s"/>
      <c r="N483" s="639" t="s"/>
      <c r="O483" s="638" t="s"/>
      <c r="P483" s="433" t="s">
        <f>=IF(O483&gt;0,"逾期","正常")</f>
        <v>32</v>
      </c>
      <c r="Q483" s="640" t="s"/>
      <c r="R483" s="641" t="s"/>
    </row>
    <row r="484" spans="1:18" s="57" customFormat="1">
      <c r="A484" s="606" t="s">
        <v>434</v>
      </c>
      <c r="B484" s="607" t="s">
        <v>32</v>
      </c>
      <c r="C484" s="608" t="s">
        <v>435</v>
      </c>
      <c r="D484" s="609" t="s">
        <v>17</v>
      </c>
      <c r="E484" s="609" t="s">
        <v>18</v>
      </c>
      <c r="F484" s="599">
        <v>46013</v>
      </c>
      <c r="G484" s="610" t="s">
        <v>19</v>
      </c>
      <c r="H484" s="670" t="s">
        <v>309</v>
      </c>
      <c r="I484" s="612">
        <f>=F484</f>
        <v>46013</v>
      </c>
      <c r="J484" s="599">
        <v>46033</v>
      </c>
      <c r="K484" s="599">
        <v>46028</v>
      </c>
      <c r="L484" s="613">
        <f>=J484-I484</f>
        <v>20</v>
      </c>
      <c r="M484" s="599">
        <v>46030</v>
      </c>
      <c r="N484" s="598">
        <f>=M484-I484</f>
        <v>17</v>
      </c>
      <c r="O484" s="614">
        <f>=IF(M484="",TODAY()-J484,M484-J484)</f>
        <v>-3</v>
      </c>
      <c r="P484" s="131" t="s">
        <f>=IF(O484&gt;0,"逾期","正常")</f>
        <v>32</v>
      </c>
      <c r="Q484" s="615" t="s">
        <v>436</v>
      </c>
      <c r="R484" s="616" t="s"/>
    </row>
    <row r="485" spans="1:18" s="57" customFormat="1">
      <c r="A485" s="617" t="s"/>
      <c r="B485" s="618" t="s"/>
      <c r="C485" s="619" t="s"/>
      <c r="D485" s="620" t="s">
        <v>373</v>
      </c>
      <c r="E485" s="621" t="s">
        <v>23</v>
      </c>
      <c r="F485" s="622">
        <f>=F486-F484</f>
        <v>45</v>
      </c>
      <c r="G485" s="479" t="s">
        <v>24</v>
      </c>
      <c r="H485" s="671" t="s">
        <v>50</v>
      </c>
      <c r="I485" s="134">
        <f>=M484</f>
        <v>46030</v>
      </c>
      <c r="J485" s="134">
        <f>=F486</f>
        <v>46058</v>
      </c>
      <c r="K485" s="134">
        <f>=J485</f>
        <v>46058</v>
      </c>
      <c r="L485" s="492">
        <f>=J485-I485</f>
        <v>28</v>
      </c>
      <c r="M485" s="406">
        <v>46081</v>
      </c>
      <c r="N485" s="467">
        <f>=M485-I485</f>
        <v>51</v>
      </c>
      <c r="O485" s="127">
        <f>=IF(M485="",TODAY()-J485,M485-J485)</f>
        <v>23</v>
      </c>
      <c r="P485" s="131" t="s">
        <f>=IF(O485&gt;0,"逾期","正常")</f>
        <v>21</v>
      </c>
      <c r="Q485" s="623" t="s">
        <v>422</v>
      </c>
      <c r="R485" s="624" t="s"/>
    </row>
    <row r="486" spans="1:18" s="57" customFormat="1">
      <c r="A486" s="617" t="s"/>
      <c r="B486" s="618" t="s"/>
      <c r="C486" s="619" t="s"/>
      <c r="D486" s="621" t="s">
        <v>28</v>
      </c>
      <c r="E486" s="621" t="s">
        <v>29</v>
      </c>
      <c r="F486" s="601">
        <v>46058</v>
      </c>
      <c r="G486" s="625" t="s">
        <v>30</v>
      </c>
      <c r="H486" s="672" t="s">
        <v>31</v>
      </c>
      <c r="I486" s="601">
        <f>=M485</f>
        <v>46081</v>
      </c>
      <c r="J486" s="601">
        <f>=I486+L486</f>
        <v>46088</v>
      </c>
      <c r="K486" s="601">
        <f>=J486</f>
        <v>46088</v>
      </c>
      <c r="L486" s="625">
        <v>7</v>
      </c>
      <c r="M486" s="601">
        <v>46085</v>
      </c>
      <c r="N486" s="467">
        <f>=M486-I486</f>
        <v>4</v>
      </c>
      <c r="O486" s="127">
        <f>=IF(M486="",TODAY()-J486,M486-J486)</f>
        <v>-3</v>
      </c>
      <c r="P486" s="131" t="s">
        <f>=IF(O486&gt;0,"逾期","正常")</f>
        <v>32</v>
      </c>
      <c r="Q486" s="623" t="s"/>
      <c r="R486" s="624" t="s"/>
    </row>
    <row r="487" spans="1:18" s="57" customFormat="1">
      <c r="A487" s="617" t="s"/>
      <c r="B487" s="618" t="s"/>
      <c r="C487" s="619" t="s"/>
      <c r="D487" s="626" t="s">
        <v>46</v>
      </c>
      <c r="E487" s="621" t="s">
        <v>34</v>
      </c>
      <c r="F487" s="627">
        <f>=IF(M485="",TODAY()-F484,M485-F484)</f>
        <v>68</v>
      </c>
      <c r="G487" s="625" t="s">
        <v>35</v>
      </c>
      <c r="H487" s="672" t="s">
        <v>80</v>
      </c>
      <c r="I487" s="601">
        <f>=M486</f>
        <v>46085</v>
      </c>
      <c r="J487" s="601">
        <f>=I487+L487</f>
        <v>46099</v>
      </c>
      <c r="K487" s="601">
        <f>=J487</f>
        <v>46099</v>
      </c>
      <c r="L487" s="625">
        <v>14</v>
      </c>
      <c r="M487" s="601">
        <v>46119</v>
      </c>
      <c r="N487" s="467">
        <f>=M487-I487</f>
        <v>34</v>
      </c>
      <c r="O487" s="127">
        <f>=IF(M487="",TODAY()-J487,M487-J487)</f>
        <v>20</v>
      </c>
      <c r="P487" s="131" t="s">
        <f>=IF(O487&gt;0,"逾期","正常")</f>
        <v>21</v>
      </c>
      <c r="Q487" s="623" t="s">
        <v>437</v>
      </c>
      <c r="R487" s="624" t="s"/>
    </row>
    <row r="488" spans="1:18" s="57" customFormat="1">
      <c r="A488" s="631" t="s"/>
      <c r="B488" s="632" t="s"/>
      <c r="C488" s="633" t="s"/>
      <c r="D488" s="634" t="s">
        <v>36</v>
      </c>
      <c r="E488" s="634" t="s">
        <v>37</v>
      </c>
      <c r="F488" s="557">
        <v>0.9</v>
      </c>
      <c r="G488" s="666" t="s">
        <v>38</v>
      </c>
      <c r="H488" s="673" t="s">
        <f>=D485</f>
        <v>373</v>
      </c>
      <c r="I488" s="668">
        <f>=M487</f>
        <v>46119</v>
      </c>
      <c r="J488" s="668">
        <f>=I488+L488</f>
        <v>46209</v>
      </c>
      <c r="K488" s="668">
        <f>=J488</f>
        <v>46209</v>
      </c>
      <c r="L488" s="669">
        <v>90</v>
      </c>
      <c r="M488" s="668" t="s"/>
      <c r="N488" s="639" t="s"/>
      <c r="O488" s="127">
        <f>=IF(M488="",TODAY()-J488,M488-J488)</f>
        <v>-67</v>
      </c>
      <c r="P488" s="433" t="s">
        <f>=IF(O488&gt;0,"逾期","正常")</f>
        <v>32</v>
      </c>
      <c r="Q488" s="640" t="s"/>
      <c r="R488" s="641" t="s"/>
    </row>
    <row r="489" spans="1:18" s="57" customFormat="1">
      <c r="A489" s="606" t="s">
        <v>438</v>
      </c>
      <c r="B489" s="607" t="s">
        <v>32</v>
      </c>
      <c r="C489" s="608" t="s">
        <v>153</v>
      </c>
      <c r="D489" s="609" t="s">
        <v>17</v>
      </c>
      <c r="E489" s="609" t="s">
        <v>18</v>
      </c>
      <c r="F489" s="599">
        <v>46015</v>
      </c>
      <c r="G489" s="610" t="s">
        <v>19</v>
      </c>
      <c r="H489" s="670" t="s">
        <v>49</v>
      </c>
      <c r="I489" s="612">
        <f>=F489</f>
        <v>46015</v>
      </c>
      <c r="J489" s="599">
        <v>46025</v>
      </c>
      <c r="K489" s="599">
        <v>46023</v>
      </c>
      <c r="L489" s="613">
        <f>=J489-I489</f>
        <v>10</v>
      </c>
      <c r="M489" s="599">
        <v>46034</v>
      </c>
      <c r="N489" s="598">
        <f>=M489-I489</f>
        <v>19</v>
      </c>
      <c r="O489" s="655">
        <f>=IF(M489="",TODAY()-J489,M489-J489)</f>
        <v>9</v>
      </c>
      <c r="P489" s="131" t="s">
        <f>=IF(O489&gt;0,"逾期","正常")</f>
        <v>21</v>
      </c>
      <c r="Q489" s="615" t="s">
        <v>439</v>
      </c>
      <c r="R489" s="616" t="s"/>
    </row>
    <row r="490" spans="1:18" s="57" customFormat="1">
      <c r="A490" s="617" t="s"/>
      <c r="B490" s="618" t="s"/>
      <c r="C490" s="619" t="s"/>
      <c r="D490" s="620" t="s">
        <v>42</v>
      </c>
      <c r="E490" s="621" t="s">
        <v>23</v>
      </c>
      <c r="F490" s="622">
        <f>=F491-F489</f>
        <v>30</v>
      </c>
      <c r="G490" s="479" t="s">
        <v>24</v>
      </c>
      <c r="H490" s="671" t="s">
        <v>50</v>
      </c>
      <c r="I490" s="134">
        <f>=M489</f>
        <v>46034</v>
      </c>
      <c r="J490" s="452">
        <f>=F491</f>
        <v>46045</v>
      </c>
      <c r="K490" s="134">
        <f>=J490</f>
        <v>46045</v>
      </c>
      <c r="L490" s="492">
        <f>=J490-I490</f>
        <v>11</v>
      </c>
      <c r="M490" s="406">
        <v>46055</v>
      </c>
      <c r="N490" s="467">
        <f>=M490-I490</f>
        <v>21</v>
      </c>
      <c r="O490" s="127">
        <f>=IF(M490="",TODAY()-J490,M490-J490)</f>
        <v>10</v>
      </c>
      <c r="P490" s="131" t="s">
        <f>=IF(O490&gt;0,"逾期","正常")</f>
        <v>21</v>
      </c>
      <c r="Q490" s="623" t="s">
        <v>440</v>
      </c>
      <c r="R490" s="624" t="s"/>
    </row>
    <row r="491" spans="1:18" s="57" customFormat="1">
      <c r="A491" s="617" t="s"/>
      <c r="B491" s="618" t="s"/>
      <c r="C491" s="619" t="s"/>
      <c r="D491" s="621" t="s">
        <v>28</v>
      </c>
      <c r="E491" s="621" t="s">
        <v>29</v>
      </c>
      <c r="F491" s="601">
        <v>46045</v>
      </c>
      <c r="G491" s="625" t="s">
        <v>30</v>
      </c>
      <c r="H491" s="672" t="s">
        <v>31</v>
      </c>
      <c r="I491" s="601">
        <f>=M490</f>
        <v>46055</v>
      </c>
      <c r="J491" s="656">
        <f>=I491+L491</f>
        <v>46062</v>
      </c>
      <c r="K491" s="601">
        <f>=J491</f>
        <v>46062</v>
      </c>
      <c r="L491" s="625">
        <v>7</v>
      </c>
      <c r="M491" s="601">
        <v>46058</v>
      </c>
      <c r="N491" s="467">
        <f>=M491-I491</f>
        <v>3</v>
      </c>
      <c r="O491" s="127">
        <f>=IF(M491="",TODAY()-J491,M491-J491)</f>
        <v>-4</v>
      </c>
      <c r="P491" s="131" t="s">
        <f>=IF(O491&gt;0,"逾期","正常")</f>
        <v>32</v>
      </c>
      <c r="Q491" s="623" t="s"/>
      <c r="R491" s="624" t="s"/>
    </row>
    <row r="492" spans="1:18" s="57" customFormat="1">
      <c r="A492" s="617" t="s"/>
      <c r="B492" s="618" t="s"/>
      <c r="C492" s="619" t="s"/>
      <c r="D492" s="626" t="s">
        <v>51</v>
      </c>
      <c r="E492" s="621" t="s">
        <v>34</v>
      </c>
      <c r="F492" s="627">
        <f>=IF(M490="",TODAY()-F489,M490-F489)</f>
        <v>40</v>
      </c>
      <c r="G492" s="625" t="s">
        <v>35</v>
      </c>
      <c r="H492" s="672" t="s">
        <v>402</v>
      </c>
      <c r="I492" s="601">
        <f>=M491</f>
        <v>46058</v>
      </c>
      <c r="J492" s="656">
        <f>=I492+L492</f>
        <v>46064</v>
      </c>
      <c r="K492" s="601">
        <f>=J492</f>
        <v>46064</v>
      </c>
      <c r="L492" s="625">
        <v>6</v>
      </c>
      <c r="M492" s="601">
        <v>46128</v>
      </c>
      <c r="N492" s="467">
        <f>=M492-I492</f>
        <v>70</v>
      </c>
      <c r="O492" s="127">
        <f>=IF(M492="",TODAY()-J492,M492-J492)</f>
        <v>64</v>
      </c>
      <c r="P492" s="131" t="s">
        <f>=IF(O492&gt;0,"逾期","正常")</f>
        <v>21</v>
      </c>
      <c r="Q492" s="623" t="s">
        <v>441</v>
      </c>
      <c r="R492" s="624" t="s"/>
    </row>
    <row r="493" spans="1:18" s="57" customFormat="1">
      <c r="A493" s="631" t="s"/>
      <c r="B493" s="632" t="s"/>
      <c r="C493" s="633" t="s"/>
      <c r="D493" s="634" t="s">
        <v>36</v>
      </c>
      <c r="E493" s="634" t="s">
        <v>37</v>
      </c>
      <c r="F493" s="557">
        <v>0.3</v>
      </c>
      <c r="G493" s="666" t="s">
        <v>38</v>
      </c>
      <c r="H493" s="673" t="s">
        <f>=D490</f>
        <v>42</v>
      </c>
      <c r="I493" s="668">
        <f>=M492</f>
        <v>46128</v>
      </c>
      <c r="J493" s="678">
        <f>=I493+L493</f>
        <v>46218</v>
      </c>
      <c r="K493" s="668">
        <f>=J493</f>
        <v>46218</v>
      </c>
      <c r="L493" s="669">
        <v>90</v>
      </c>
      <c r="M493" s="668" t="s"/>
      <c r="N493" s="639" t="s"/>
      <c r="O493" s="127">
        <f>=IF(M493="",TODAY()-J493,M493-J493)</f>
        <v>-76</v>
      </c>
      <c r="P493" s="433" t="s">
        <f>=IF(O493&gt;0,"逾期","正常")</f>
        <v>32</v>
      </c>
      <c r="Q493" s="640" t="s"/>
      <c r="R493" s="641" t="s"/>
    </row>
    <row r="494" spans="1:18" s="57" customFormat="1">
      <c r="A494" s="606" t="s">
        <v>442</v>
      </c>
      <c r="B494" s="607" t="s">
        <v>32</v>
      </c>
      <c r="C494" s="608" t="s">
        <v>132</v>
      </c>
      <c r="D494" s="609" t="s">
        <v>17</v>
      </c>
      <c r="E494" s="609" t="s">
        <v>18</v>
      </c>
      <c r="F494" s="599">
        <v>46015</v>
      </c>
      <c r="G494" s="610" t="s">
        <v>19</v>
      </c>
      <c r="H494" s="670" t="s">
        <v>41</v>
      </c>
      <c r="I494" s="612">
        <f>=F494</f>
        <v>46015</v>
      </c>
      <c r="J494" s="599">
        <v>46025</v>
      </c>
      <c r="K494" s="599">
        <v>46023</v>
      </c>
      <c r="L494" s="613">
        <f>=J494-I494</f>
        <v>10</v>
      </c>
      <c r="M494" s="599">
        <v>46020</v>
      </c>
      <c r="N494" s="598">
        <f>=M494-I494</f>
        <v>5</v>
      </c>
      <c r="O494" s="614">
        <f>=IF(M494="",TODAY()-J494,M494-J494)</f>
        <v>-5</v>
      </c>
      <c r="P494" s="131" t="s">
        <f>=IF(O494&gt;0,"逾期","正常")</f>
        <v>32</v>
      </c>
      <c r="Q494" s="615" t="s"/>
      <c r="R494" s="616" t="s"/>
    </row>
    <row r="495" spans="1:18" s="57" customFormat="1">
      <c r="A495" s="617" t="s"/>
      <c r="B495" s="618" t="s"/>
      <c r="C495" s="619" t="s"/>
      <c r="D495" s="620" t="s">
        <v>57</v>
      </c>
      <c r="E495" s="621" t="s">
        <v>23</v>
      </c>
      <c r="F495" s="622">
        <f>=F496-F494</f>
        <v>30</v>
      </c>
      <c r="G495" s="479" t="s">
        <v>24</v>
      </c>
      <c r="H495" s="671" t="s">
        <v>25</v>
      </c>
      <c r="I495" s="134">
        <f>=M494</f>
        <v>46020</v>
      </c>
      <c r="J495" s="134">
        <f>=F496</f>
        <v>46045</v>
      </c>
      <c r="K495" s="134">
        <f>=J495</f>
        <v>46045</v>
      </c>
      <c r="L495" s="492">
        <f>=J495-I495</f>
        <v>25</v>
      </c>
      <c r="M495" s="406">
        <v>46044</v>
      </c>
      <c r="N495" s="575">
        <f>=M495-I495</f>
        <v>24</v>
      </c>
      <c r="O495" s="127">
        <f>=IF(M495="",TODAY()-J495,M495-J495)</f>
        <v>-1</v>
      </c>
      <c r="P495" s="131" t="s">
        <f>=IF(O495&gt;0,"逾期","正常")</f>
        <v>32</v>
      </c>
      <c r="Q495" s="623" t="s"/>
      <c r="R495" s="624" t="s"/>
    </row>
    <row r="496" spans="1:18" s="57" customFormat="1">
      <c r="A496" s="617" t="s"/>
      <c r="B496" s="618" t="s"/>
      <c r="C496" s="619" t="s"/>
      <c r="D496" s="621" t="s">
        <v>28</v>
      </c>
      <c r="E496" s="621" t="s">
        <v>29</v>
      </c>
      <c r="F496" s="601">
        <v>46045</v>
      </c>
      <c r="G496" s="630" t="s">
        <v>30</v>
      </c>
      <c r="H496" s="675" t="s">
        <v>31</v>
      </c>
      <c r="I496" s="651">
        <f>=M495</f>
        <v>46044</v>
      </c>
      <c r="J496" s="651">
        <f>=I496+L496</f>
        <v>46051</v>
      </c>
      <c r="K496" s="651">
        <f>=J496</f>
        <v>46051</v>
      </c>
      <c r="L496" s="625">
        <v>7</v>
      </c>
      <c r="M496" s="651">
        <v>46045</v>
      </c>
      <c r="N496" s="467">
        <f>=M496-I496</f>
        <v>1</v>
      </c>
      <c r="O496" s="127">
        <f>=IF(M496="",TODAY()-J496,M496-J496)</f>
        <v>-6</v>
      </c>
      <c r="P496" s="131" t="s">
        <f>=IF(O496&gt;0,"逾期","正常")</f>
        <v>32</v>
      </c>
      <c r="Q496" s="623" t="s"/>
      <c r="R496" s="624" t="s"/>
    </row>
    <row r="497" spans="1:18" s="57" customFormat="1">
      <c r="A497" s="617" t="s"/>
      <c r="B497" s="618" t="s"/>
      <c r="C497" s="619" t="s"/>
      <c r="D497" s="626" t="s">
        <v>33</v>
      </c>
      <c r="E497" s="621" t="s">
        <v>34</v>
      </c>
      <c r="F497" s="627">
        <f>=IF(M495="",TODAY()-F494,M495-F494)</f>
        <v>29</v>
      </c>
      <c r="G497" s="625" t="s">
        <v>35</v>
      </c>
      <c r="H497" s="672" t="s">
        <v>110</v>
      </c>
      <c r="I497" s="601">
        <f>=M496</f>
        <v>46045</v>
      </c>
      <c r="J497" s="601">
        <f>=I497+L497</f>
        <v>46052</v>
      </c>
      <c r="K497" s="601">
        <f>=J497</f>
        <v>46052</v>
      </c>
      <c r="L497" s="625">
        <v>7</v>
      </c>
      <c r="M497" s="601">
        <v>46055</v>
      </c>
      <c r="N497" s="467">
        <f>=M497-I497</f>
        <v>10</v>
      </c>
      <c r="O497" s="127">
        <f>=IF(M497="",TODAY()-J497,M497-J497)</f>
        <v>3</v>
      </c>
      <c r="P497" s="131" t="s">
        <f>=IF(O497&gt;0,"逾期","正常")</f>
        <v>21</v>
      </c>
      <c r="Q497" s="623" t="s">
        <v>443</v>
      </c>
      <c r="R497" s="624" t="s"/>
    </row>
    <row r="498" spans="1:18" s="57" customFormat="1">
      <c r="A498" s="631" t="s"/>
      <c r="B498" s="632" t="s"/>
      <c r="C498" s="633" t="s"/>
      <c r="D498" s="634" t="s">
        <v>36</v>
      </c>
      <c r="E498" s="634" t="s">
        <v>37</v>
      </c>
      <c r="F498" s="557">
        <v>0.9</v>
      </c>
      <c r="G498" s="666" t="s">
        <v>38</v>
      </c>
      <c r="H498" s="673" t="s">
        <f>=D495</f>
        <v>57</v>
      </c>
      <c r="I498" s="668">
        <f>=M497</f>
        <v>46055</v>
      </c>
      <c r="J498" s="668">
        <f>=I498+L498</f>
        <v>46145</v>
      </c>
      <c r="K498" s="668">
        <f>=J498</f>
        <v>46145</v>
      </c>
      <c r="L498" s="669">
        <v>90</v>
      </c>
      <c r="M498" s="668" t="s"/>
      <c r="N498" s="639" t="s"/>
      <c r="O498" s="127">
        <f>=IF(M498="",TODAY()-J498,M498-J498)</f>
        <v>-3</v>
      </c>
      <c r="P498" s="433" t="s">
        <f>=IF(O498&gt;0,"逾期","正常")</f>
        <v>32</v>
      </c>
      <c r="Q498" s="640" t="s"/>
      <c r="R498" s="641" t="s"/>
    </row>
    <row r="499" spans="1:18" s="57" customFormat="1">
      <c r="A499" s="606" t="s">
        <v>444</v>
      </c>
      <c r="B499" s="607" t="s">
        <v>32</v>
      </c>
      <c r="C499" s="608" t="s">
        <v>445</v>
      </c>
      <c r="D499" s="609" t="s">
        <v>17</v>
      </c>
      <c r="E499" s="609" t="s">
        <v>18</v>
      </c>
      <c r="F499" s="599">
        <v>46016</v>
      </c>
      <c r="G499" s="610" t="s">
        <v>19</v>
      </c>
      <c r="H499" s="670" t="s">
        <v>309</v>
      </c>
      <c r="I499" s="612">
        <f>=F499</f>
        <v>46016</v>
      </c>
      <c r="J499" s="599">
        <v>46034</v>
      </c>
      <c r="K499" s="599">
        <v>46031</v>
      </c>
      <c r="L499" s="613">
        <f>=J499-I499</f>
        <v>18</v>
      </c>
      <c r="M499" s="599">
        <v>46016</v>
      </c>
      <c r="N499" s="598">
        <f>=M499-I499</f>
        <v>0</v>
      </c>
      <c r="O499" s="614">
        <f>=IF(M499="",TODAY()-J499,M499-J499)</f>
        <v>-18</v>
      </c>
      <c r="P499" s="131" t="s">
        <f>=IF(O499&gt;0,"逾期","正常")</f>
        <v>32</v>
      </c>
      <c r="Q499" s="615" t="s">
        <v>446</v>
      </c>
      <c r="R499" s="616" t="s"/>
    </row>
    <row r="500" spans="1:18" s="57" customFormat="1">
      <c r="A500" s="617" t="s"/>
      <c r="B500" s="618" t="s"/>
      <c r="C500" s="619" t="s"/>
      <c r="D500" s="620" t="s">
        <v>72</v>
      </c>
      <c r="E500" s="621" t="s">
        <v>23</v>
      </c>
      <c r="F500" s="622">
        <f>=F501-F499</f>
        <v>35</v>
      </c>
      <c r="G500" s="679" t="s">
        <v>24</v>
      </c>
      <c r="H500" s="680" t="s">
        <v>50</v>
      </c>
      <c r="I500" s="452">
        <f>=M499</f>
        <v>46016</v>
      </c>
      <c r="J500" s="452">
        <f>=F501</f>
        <v>46051</v>
      </c>
      <c r="K500" s="452">
        <f>=J500</f>
        <v>46051</v>
      </c>
      <c r="L500" s="681">
        <f>=J500-I500</f>
        <v>35</v>
      </c>
      <c r="M500" s="454">
        <v>46037</v>
      </c>
      <c r="N500" s="423">
        <f>=M500-I500</f>
        <v>21</v>
      </c>
      <c r="O500" s="535">
        <f>=IF(M500="",TODAY()-J500,M500-J500)</f>
        <v>-14</v>
      </c>
      <c r="P500" s="131" t="s">
        <f>=IF(O500&gt;0,"逾期","正常")</f>
        <v>32</v>
      </c>
      <c r="Q500" s="623" t="s"/>
      <c r="R500" s="624" t="s"/>
    </row>
    <row r="501" spans="1:18" s="57" customFormat="1">
      <c r="A501" s="617" t="s"/>
      <c r="B501" s="618" t="s"/>
      <c r="C501" s="619" t="s"/>
      <c r="D501" s="621" t="s">
        <v>28</v>
      </c>
      <c r="E501" s="621" t="s">
        <v>29</v>
      </c>
      <c r="F501" s="601">
        <v>46051</v>
      </c>
      <c r="G501" s="625" t="s">
        <v>30</v>
      </c>
      <c r="H501" s="672" t="s">
        <v>31</v>
      </c>
      <c r="I501" s="601">
        <f>=M500</f>
        <v>46037</v>
      </c>
      <c r="J501" s="601">
        <f>=I501+L501</f>
        <v>46044</v>
      </c>
      <c r="K501" s="601">
        <f>=J501</f>
        <v>46044</v>
      </c>
      <c r="L501" s="625">
        <v>7</v>
      </c>
      <c r="M501" s="601">
        <v>46043</v>
      </c>
      <c r="N501" s="467">
        <f>=M501-I501</f>
        <v>6</v>
      </c>
      <c r="O501" s="535">
        <f>=IF(M501="",TODAY()-J501,M501-J501)</f>
        <v>-1</v>
      </c>
      <c r="P501" s="131" t="s">
        <f>=IF(O501&gt;0,"逾期","正常")</f>
        <v>32</v>
      </c>
      <c r="Q501" s="623" t="s"/>
      <c r="R501" s="624" t="s"/>
    </row>
    <row r="502" spans="1:18" s="57" customFormat="1">
      <c r="A502" s="617" t="s"/>
      <c r="B502" s="618" t="s"/>
      <c r="C502" s="619" t="s"/>
      <c r="D502" s="626" t="s">
        <v>46</v>
      </c>
      <c r="E502" s="621" t="s">
        <v>34</v>
      </c>
      <c r="F502" s="627">
        <f>=IF(M500="",TODAY()-F499,M500-F499)</f>
        <v>21</v>
      </c>
      <c r="G502" s="625" t="s">
        <v>35</v>
      </c>
      <c r="H502" s="672" t="s">
        <v>120</v>
      </c>
      <c r="I502" s="601">
        <f>=M501</f>
        <v>46043</v>
      </c>
      <c r="J502" s="601">
        <f>=I502+L502</f>
        <v>46049</v>
      </c>
      <c r="K502" s="601">
        <f>=J502</f>
        <v>46049</v>
      </c>
      <c r="L502" s="625">
        <v>6</v>
      </c>
      <c r="M502" s="601">
        <v>46088</v>
      </c>
      <c r="N502" s="467">
        <f>=M502-I502</f>
        <v>45</v>
      </c>
      <c r="O502" s="535">
        <f>=IF(M502="",TODAY()-J502,M502-J502)</f>
        <v>39</v>
      </c>
      <c r="P502" s="131" t="s">
        <f>=IF(O502&gt;0,"逾期","正常")</f>
        <v>21</v>
      </c>
      <c r="Q502" s="623" t="s">
        <v>447</v>
      </c>
      <c r="R502" s="624" t="s"/>
    </row>
    <row r="503" spans="1:18" s="57" customFormat="1">
      <c r="A503" s="631" t="s"/>
      <c r="B503" s="632" t="s"/>
      <c r="C503" s="633" t="s"/>
      <c r="D503" s="634" t="s">
        <v>36</v>
      </c>
      <c r="E503" s="634" t="s">
        <v>37</v>
      </c>
      <c r="F503" s="557">
        <v>0.9</v>
      </c>
      <c r="G503" s="666" t="s">
        <v>38</v>
      </c>
      <c r="H503" s="673" t="s">
        <f>=D500</f>
        <v>72</v>
      </c>
      <c r="I503" s="668">
        <f>=M502</f>
        <v>46088</v>
      </c>
      <c r="J503" s="668">
        <f>=I503+L503</f>
        <v>46178</v>
      </c>
      <c r="K503" s="668">
        <f>=J503</f>
        <v>46178</v>
      </c>
      <c r="L503" s="669">
        <v>90</v>
      </c>
      <c r="M503" s="668" t="s"/>
      <c r="N503" s="639" t="s"/>
      <c r="O503" s="535">
        <f>=IF(M503="",TODAY()-J503,M503-J503)</f>
        <v>-36</v>
      </c>
      <c r="P503" s="433" t="s">
        <f>=IF(O503&gt;0,"逾期","正常")</f>
        <v>32</v>
      </c>
      <c r="Q503" s="640" t="s"/>
      <c r="R503" s="641" t="s"/>
    </row>
    <row r="504" spans="1:18" s="57" customFormat="1">
      <c r="A504" s="606" t="s">
        <v>448</v>
      </c>
      <c r="B504" s="607" t="s">
        <v>32</v>
      </c>
      <c r="C504" s="608" t="s">
        <v>156</v>
      </c>
      <c r="D504" s="609" t="s">
        <v>17</v>
      </c>
      <c r="E504" s="609" t="s">
        <v>18</v>
      </c>
      <c r="F504" s="599">
        <v>46020</v>
      </c>
      <c r="G504" s="610" t="s">
        <v>19</v>
      </c>
      <c r="H504" s="670" t="s">
        <v>63</v>
      </c>
      <c r="I504" s="612">
        <f>=F504</f>
        <v>46020</v>
      </c>
      <c r="J504" s="599">
        <v>46038</v>
      </c>
      <c r="K504" s="599">
        <v>46032</v>
      </c>
      <c r="L504" s="613">
        <f>=J504-I504</f>
        <v>18</v>
      </c>
      <c r="M504" s="599">
        <v>46038</v>
      </c>
      <c r="N504" s="598">
        <f>=M504-I504</f>
        <v>18</v>
      </c>
      <c r="O504" s="614">
        <f>=IF(M504="",TODAY()-J504,M504-J504)</f>
        <v>0</v>
      </c>
      <c r="P504" s="131" t="s">
        <f>=IF(O504&gt;0,"逾期","正常")</f>
        <v>32</v>
      </c>
      <c r="Q504" s="615" t="s">
        <v>449</v>
      </c>
      <c r="R504" s="616" t="s"/>
    </row>
    <row r="505" spans="1:18" s="57" customFormat="1">
      <c r="A505" s="617" t="s"/>
      <c r="B505" s="618" t="s"/>
      <c r="C505" s="619" t="s"/>
      <c r="D505" s="620" t="s">
        <v>72</v>
      </c>
      <c r="E505" s="621" t="s">
        <v>23</v>
      </c>
      <c r="F505" s="622">
        <f>=F506-F504</f>
        <v>35</v>
      </c>
      <c r="G505" s="500" t="s">
        <v>24</v>
      </c>
      <c r="H505" s="674" t="s">
        <v>50</v>
      </c>
      <c r="I505" s="155">
        <f>=M504</f>
        <v>46038</v>
      </c>
      <c r="J505" s="155">
        <f>=F506</f>
        <v>46055</v>
      </c>
      <c r="K505" s="155">
        <f>=J505</f>
        <v>46055</v>
      </c>
      <c r="L505" s="501">
        <f>=J505-I505</f>
        <v>17</v>
      </c>
      <c r="M505" s="502">
        <v>46115</v>
      </c>
      <c r="N505" s="467">
        <f>=M505-I505</f>
        <v>77</v>
      </c>
      <c r="O505" s="127">
        <f>=IF(M505="",TODAY()-J505,M505-J505)</f>
        <v>60</v>
      </c>
      <c r="P505" s="131" t="s">
        <f>=IF(O505&gt;0,"逾期","正常")</f>
        <v>21</v>
      </c>
      <c r="Q505" s="623" t="s">
        <v>450</v>
      </c>
      <c r="R505" s="624" t="s"/>
    </row>
    <row r="506" spans="1:18" s="57" customFormat="1">
      <c r="A506" s="617" t="s"/>
      <c r="B506" s="618" t="s"/>
      <c r="C506" s="619" t="s"/>
      <c r="D506" s="621" t="s">
        <v>28</v>
      </c>
      <c r="E506" s="621" t="s">
        <v>29</v>
      </c>
      <c r="F506" s="601">
        <v>46055</v>
      </c>
      <c r="G506" s="625" t="s">
        <v>30</v>
      </c>
      <c r="H506" s="672" t="s">
        <v>31</v>
      </c>
      <c r="I506" s="601">
        <f>=M505</f>
        <v>46115</v>
      </c>
      <c r="J506" s="601">
        <f>=I506+L506</f>
        <v>46122</v>
      </c>
      <c r="K506" s="601">
        <f>=J506</f>
        <v>46122</v>
      </c>
      <c r="L506" s="625">
        <v>7</v>
      </c>
      <c r="M506" s="601">
        <v>46132</v>
      </c>
      <c r="N506" s="467">
        <f>=M506-I506</f>
        <v>17</v>
      </c>
      <c r="O506" s="127">
        <f>=IF(M506="",TODAY()-J506,M506-J506)</f>
        <v>10</v>
      </c>
      <c r="P506" s="131" t="s">
        <f>=IF(O506&gt;0,"逾期","正常")</f>
        <v>21</v>
      </c>
      <c r="Q506" s="623" t="s"/>
      <c r="R506" s="624" t="s"/>
    </row>
    <row r="507" spans="1:18" s="57" customFormat="1">
      <c r="A507" s="617" t="s"/>
      <c r="B507" s="618" t="s"/>
      <c r="C507" s="619" t="s"/>
      <c r="D507" s="626" t="s">
        <v>51</v>
      </c>
      <c r="E507" s="621" t="s">
        <v>34</v>
      </c>
      <c r="F507" s="627">
        <f>=IF(M505="",TODAY()-F504,M505-F504)</f>
        <v>95</v>
      </c>
      <c r="G507" s="682" t="s">
        <v>35</v>
      </c>
      <c r="H507" s="683" t="s">
        <v>99</v>
      </c>
      <c r="I507" s="684">
        <f>=M506</f>
        <v>46132</v>
      </c>
      <c r="J507" s="684">
        <f>=I507+L507</f>
        <v>46137</v>
      </c>
      <c r="K507" s="684">
        <f>=J507</f>
        <v>46137</v>
      </c>
      <c r="L507" s="682">
        <v>5</v>
      </c>
      <c r="M507" s="684" t="s"/>
      <c r="N507" s="467" t="s"/>
      <c r="O507" s="127">
        <f>=IF(M507="",TODAY()-J507,M507-J507)</f>
        <v>5</v>
      </c>
      <c r="P507" s="131" t="s">
        <f>=IF(O507&gt;0,"逾期","正常")</f>
        <v>21</v>
      </c>
      <c r="Q507" s="623" t="s">
        <v>451</v>
      </c>
      <c r="R507" s="624" t="s"/>
    </row>
    <row r="508" spans="1:18" s="57" customFormat="1">
      <c r="A508" s="631" t="s"/>
      <c r="B508" s="632" t="s"/>
      <c r="C508" s="633" t="s"/>
      <c r="D508" s="634" t="s">
        <v>36</v>
      </c>
      <c r="E508" s="634" t="s">
        <v>37</v>
      </c>
      <c r="F508" s="557">
        <v>0.6</v>
      </c>
      <c r="G508" s="685" t="s">
        <v>38</v>
      </c>
      <c r="H508" s="677" t="s">
        <f>=D505</f>
        <v>72</v>
      </c>
      <c r="I508" s="686" t="s"/>
      <c r="J508" s="686" t="s"/>
      <c r="K508" s="686" t="s"/>
      <c r="L508" s="687">
        <v>90</v>
      </c>
      <c r="M508" s="686" t="s"/>
      <c r="N508" s="639" t="s"/>
      <c r="O508" s="127" t="s"/>
      <c r="P508" s="433" t="s">
        <f>=IF(O508&gt;0,"逾期","正常")</f>
        <v>32</v>
      </c>
      <c r="Q508" s="640" t="s"/>
      <c r="R508" s="641" t="s"/>
    </row>
    <row r="509" spans="1:18" s="57" customFormat="1">
      <c r="A509" s="606" t="s">
        <v>452</v>
      </c>
      <c r="B509" s="607" t="s">
        <v>32</v>
      </c>
      <c r="C509" s="608" t="s">
        <v>89</v>
      </c>
      <c r="D509" s="609" t="s">
        <v>17</v>
      </c>
      <c r="E509" s="609" t="s">
        <v>18</v>
      </c>
      <c r="F509" s="599">
        <v>46022</v>
      </c>
      <c r="G509" s="610" t="s">
        <v>19</v>
      </c>
      <c r="H509" s="670" t="s">
        <v>63</v>
      </c>
      <c r="I509" s="612">
        <f>=F509</f>
        <v>46022</v>
      </c>
      <c r="J509" s="599">
        <v>46037</v>
      </c>
      <c r="K509" s="599">
        <v>46034</v>
      </c>
      <c r="L509" s="613">
        <f>=J509-I509</f>
        <v>15</v>
      </c>
      <c r="M509" s="599">
        <v>46031</v>
      </c>
      <c r="N509" s="598">
        <f>=M509-I509</f>
        <v>9</v>
      </c>
      <c r="O509" s="614">
        <f>=IF(M509="",TODAY()-J509,M509-J509)</f>
        <v>-6</v>
      </c>
      <c r="P509" s="131" t="s">
        <f>=IF(O509&gt;0,"逾期","正常")</f>
        <v>32</v>
      </c>
      <c r="Q509" s="615" t="s"/>
      <c r="R509" s="616" t="s"/>
    </row>
    <row r="510" spans="1:18" s="57" customFormat="1">
      <c r="A510" s="617" t="s"/>
      <c r="B510" s="618" t="s"/>
      <c r="C510" s="619" t="s"/>
      <c r="D510" s="620" t="s">
        <v>128</v>
      </c>
      <c r="E510" s="621" t="s">
        <v>23</v>
      </c>
      <c r="F510" s="622">
        <f>=F511-F509</f>
        <v>30</v>
      </c>
      <c r="G510" s="488" t="s">
        <v>24</v>
      </c>
      <c r="H510" s="688" t="s">
        <v>50</v>
      </c>
      <c r="I510" s="186">
        <f>=M509</f>
        <v>46031</v>
      </c>
      <c r="J510" s="186">
        <f>=F511</f>
        <v>46052</v>
      </c>
      <c r="K510" s="186">
        <f>=J510</f>
        <v>46052</v>
      </c>
      <c r="L510" s="489">
        <f>=J510-I510</f>
        <v>21</v>
      </c>
      <c r="M510" s="428" t="s"/>
      <c r="N510" s="689" t="s"/>
      <c r="O510" s="127">
        <f>=IF(M510="",TODAY()-J510,M510-J510)</f>
        <v>98</v>
      </c>
      <c r="P510" s="131" t="s">
        <f>=IF(O510&gt;0,"逾期","正常")</f>
        <v>21</v>
      </c>
      <c r="Q510" s="623" t="s">
        <v>453</v>
      </c>
      <c r="R510" s="624" t="s"/>
    </row>
    <row r="511" spans="1:18" s="57" customFormat="1">
      <c r="A511" s="617" t="s"/>
      <c r="B511" s="618" t="s"/>
      <c r="C511" s="619" t="s"/>
      <c r="D511" s="621" t="s">
        <v>28</v>
      </c>
      <c r="E511" s="621" t="s">
        <v>29</v>
      </c>
      <c r="F511" s="601">
        <v>46052</v>
      </c>
      <c r="G511" s="630" t="s">
        <v>30</v>
      </c>
      <c r="H511" s="675" t="s">
        <v>31</v>
      </c>
      <c r="I511" s="651" t="s"/>
      <c r="J511" s="651" t="s"/>
      <c r="K511" s="651" t="s"/>
      <c r="L511" s="625">
        <v>7</v>
      </c>
      <c r="M511" s="651" t="s"/>
      <c r="N511" s="653" t="s"/>
      <c r="O511" s="630" t="s"/>
      <c r="P511" s="131" t="s">
        <f>=IF(O511&gt;0,"逾期","正常")</f>
        <v>32</v>
      </c>
      <c r="Q511" s="623" t="s"/>
      <c r="R511" s="624" t="s"/>
    </row>
    <row r="512" spans="1:18" s="57" customFormat="1">
      <c r="A512" s="617" t="s"/>
      <c r="B512" s="618" t="s"/>
      <c r="C512" s="619" t="s"/>
      <c r="D512" s="626" t="s">
        <v>51</v>
      </c>
      <c r="E512" s="621" t="s">
        <v>34</v>
      </c>
      <c r="F512" s="627">
        <f>=IF(M510="",TODAY()-F509,M510-F509)</f>
        <v>128</v>
      </c>
      <c r="G512" s="630" t="s">
        <v>35</v>
      </c>
      <c r="H512" s="675" t="s"/>
      <c r="I512" s="651" t="s"/>
      <c r="J512" s="651" t="s"/>
      <c r="K512" s="651" t="s"/>
      <c r="L512" s="630" t="s"/>
      <c r="M512" s="651" t="s"/>
      <c r="N512" s="630" t="s"/>
      <c r="O512" s="630" t="s"/>
      <c r="P512" s="131" t="s">
        <f>=IF(O512&gt;0,"逾期","正常")</f>
        <v>32</v>
      </c>
      <c r="Q512" s="623" t="s"/>
      <c r="R512" s="624" t="s"/>
    </row>
    <row r="513" spans="1:18" s="57" customFormat="1">
      <c r="A513" s="631" t="s"/>
      <c r="B513" s="632" t="s"/>
      <c r="C513" s="633" t="s"/>
      <c r="D513" s="634" t="s">
        <v>36</v>
      </c>
      <c r="E513" s="634" t="s">
        <v>37</v>
      </c>
      <c r="F513" s="557">
        <v>1</v>
      </c>
      <c r="G513" s="636" t="s">
        <v>38</v>
      </c>
      <c r="H513" s="677" t="s">
        <f>=D510</f>
        <v>128</v>
      </c>
      <c r="I513" s="604" t="s"/>
      <c r="J513" s="604" t="s"/>
      <c r="K513" s="604" t="s"/>
      <c r="L513" s="638">
        <v>90</v>
      </c>
      <c r="M513" s="604" t="s"/>
      <c r="N513" s="639" t="s"/>
      <c r="O513" s="638" t="s"/>
      <c r="P513" s="433" t="s">
        <f>=IF(O513&gt;0,"逾期","正常")</f>
        <v>32</v>
      </c>
      <c r="Q513" s="640" t="s"/>
      <c r="R513" s="641" t="s"/>
    </row>
    <row r="514" spans="1:18" s="57" customFormat="1">
      <c r="A514" s="510" t="s">
        <v>454</v>
      </c>
      <c r="B514" s="374" t="s">
        <v>32</v>
      </c>
      <c r="C514" s="375" t="s">
        <v>455</v>
      </c>
      <c r="D514" s="690" t="s">
        <v>17</v>
      </c>
      <c r="E514" s="690" t="s">
        <v>18</v>
      </c>
      <c r="F514" s="691">
        <v>46022</v>
      </c>
      <c r="G514" s="692" t="s">
        <v>19</v>
      </c>
      <c r="H514" s="693" t="s">
        <v>41</v>
      </c>
      <c r="I514" s="694">
        <f>=F514</f>
        <v>46022</v>
      </c>
      <c r="J514" s="694">
        <v>46037</v>
      </c>
      <c r="K514" s="694">
        <v>46034</v>
      </c>
      <c r="L514" s="695">
        <f>=J514-I514</f>
        <v>15</v>
      </c>
      <c r="M514" s="696">
        <v>46036</v>
      </c>
      <c r="N514" s="697">
        <f>=M514-I514</f>
        <v>14</v>
      </c>
      <c r="O514" s="698">
        <f>=IF(M514="",TODAY()-J514,M514-J514)</f>
        <v>-1</v>
      </c>
      <c r="P514" s="131" t="s">
        <f>=IF(O514&gt;0,"逾期","正常")</f>
        <v>32</v>
      </c>
      <c r="Q514" s="585" t="s"/>
      <c r="R514" s="574" t="s"/>
    </row>
    <row r="515" spans="1:18" s="57" customFormat="1">
      <c r="A515" s="373" t="s"/>
      <c r="B515" s="699" t="s"/>
      <c r="C515" s="375" t="s"/>
      <c r="D515" s="517" t="s"/>
      <c r="E515" s="517" t="s"/>
      <c r="F515" s="700" t="s"/>
      <c r="G515" s="421" t="s">
        <v>19</v>
      </c>
      <c r="H515" s="701" t="s">
        <v>49</v>
      </c>
      <c r="I515" s="421">
        <f>=F514</f>
        <v>46022</v>
      </c>
      <c r="J515" s="134">
        <v>46037</v>
      </c>
      <c r="K515" s="134">
        <v>46034</v>
      </c>
      <c r="L515" s="421">
        <f>=J515-I515</f>
        <v>15</v>
      </c>
      <c r="M515" s="702">
        <v>46031</v>
      </c>
      <c r="N515" s="703">
        <f>=M515-I515</f>
        <v>9</v>
      </c>
      <c r="O515" s="533">
        <f>=IF(M515="",TODAY()-J515,M515-J515)</f>
        <v>-6</v>
      </c>
      <c r="P515" s="131" t="s">
        <f>=IF(O515&gt;0,"逾期","正常")</f>
        <v>32</v>
      </c>
      <c r="Q515" s="704" t="s">
        <v>456</v>
      </c>
      <c r="R515" s="705" t="s"/>
    </row>
    <row r="516" spans="1:18" s="57" customFormat="1">
      <c r="A516" s="551" t="s"/>
      <c r="B516" s="706" t="s"/>
      <c r="C516" s="553" t="s"/>
      <c r="D516" s="525" t="s">
        <v>72</v>
      </c>
      <c r="E516" s="528" t="s">
        <v>23</v>
      </c>
      <c r="F516" s="527">
        <f>=F517-F514</f>
        <v>35</v>
      </c>
      <c r="G516" s="479" t="s">
        <v>24</v>
      </c>
      <c r="H516" s="707" t="s">
        <v>50</v>
      </c>
      <c r="I516" s="134">
        <f>=M514</f>
        <v>46036</v>
      </c>
      <c r="J516" s="134">
        <f>=F517</f>
        <v>46057</v>
      </c>
      <c r="K516" s="134">
        <f>=J516</f>
        <v>46057</v>
      </c>
      <c r="L516" s="492">
        <f>=J516-I516</f>
        <v>21</v>
      </c>
      <c r="M516" s="406">
        <v>46055</v>
      </c>
      <c r="N516" s="467">
        <f>=M516-I516</f>
        <v>19</v>
      </c>
      <c r="O516" s="127">
        <f>=IF(M516="",TODAY()-J516,M516-J516)</f>
        <v>-2</v>
      </c>
      <c r="P516" s="131" t="s">
        <f>=IF(O516&gt;0,"逾期","正常")</f>
        <v>32</v>
      </c>
      <c r="Q516" s="576" t="s">
        <v>422</v>
      </c>
      <c r="R516" s="577" t="s"/>
    </row>
    <row r="517" spans="1:18" s="57" customFormat="1">
      <c r="A517" s="551" t="s"/>
      <c r="B517" s="706" t="s"/>
      <c r="C517" s="553" t="s"/>
      <c r="D517" s="528" t="s">
        <v>28</v>
      </c>
      <c r="E517" s="528" t="s">
        <v>29</v>
      </c>
      <c r="F517" s="398">
        <v>46057</v>
      </c>
      <c r="G517" s="392" t="s">
        <v>30</v>
      </c>
      <c r="H517" s="708" t="s">
        <v>31</v>
      </c>
      <c r="I517" s="400">
        <f>=M516</f>
        <v>46055</v>
      </c>
      <c r="J517" s="400">
        <f>=I517+L517</f>
        <v>46062</v>
      </c>
      <c r="K517" s="400">
        <f>=J517</f>
        <v>46062</v>
      </c>
      <c r="L517" s="709">
        <v>7</v>
      </c>
      <c r="M517" s="394">
        <v>46057</v>
      </c>
      <c r="N517" s="467">
        <f>=M517-I517</f>
        <v>2</v>
      </c>
      <c r="O517" s="127">
        <f>=IF(M517="",TODAY()-J517,M517-J517)</f>
        <v>-5</v>
      </c>
      <c r="P517" s="131" t="s">
        <f>=IF(O517&gt;0,"逾期","正常")</f>
        <v>32</v>
      </c>
      <c r="Q517" s="576" t="s"/>
      <c r="R517" s="577" t="s"/>
    </row>
    <row r="518" spans="1:18" s="57" customFormat="1">
      <c r="A518" s="551" t="s"/>
      <c r="B518" s="706" t="s"/>
      <c r="C518" s="553" t="s"/>
      <c r="D518" s="528" t="s">
        <v>51</v>
      </c>
      <c r="E518" s="528" t="s">
        <v>34</v>
      </c>
      <c r="F518" s="627">
        <f>=IF(M516="",TODAY()-F514,M516-F514)</f>
        <v>33</v>
      </c>
      <c r="G518" s="435" t="s">
        <v>35</v>
      </c>
      <c r="H518" s="710" t="s">
        <v>99</v>
      </c>
      <c r="I518" s="426">
        <f>=M517</f>
        <v>46057</v>
      </c>
      <c r="J518" s="426">
        <f>=I518+L518</f>
        <v>46064</v>
      </c>
      <c r="K518" s="426">
        <f>=J518</f>
        <v>46064</v>
      </c>
      <c r="L518" s="711">
        <v>7</v>
      </c>
      <c r="M518" s="428" t="s"/>
      <c r="N518" s="467" t="s"/>
      <c r="O518" s="127">
        <f>=IF(M518="",TODAY()-J518,M518-J518)</f>
        <v>78</v>
      </c>
      <c r="P518" s="131" t="s">
        <f>=IF(O518&gt;0,"逾期","正常")</f>
        <v>21</v>
      </c>
      <c r="Q518" s="576" t="s">
        <v>457</v>
      </c>
      <c r="R518" s="577" t="s"/>
    </row>
    <row r="519" spans="1:18">
      <c r="A519" s="385" t="s"/>
      <c r="B519" s="408" t="s"/>
      <c r="C519" s="409" t="s"/>
      <c r="D519" s="712" t="s">
        <v>36</v>
      </c>
      <c r="E519" s="712" t="s">
        <v>37</v>
      </c>
      <c r="F519" s="557">
        <v>1</v>
      </c>
      <c r="G519" s="442" t="s">
        <v>38</v>
      </c>
      <c r="H519" s="713" t="s">
        <f>=D516</f>
        <v>72</v>
      </c>
      <c r="I519" s="443" t="s"/>
      <c r="J519" s="443" t="s"/>
      <c r="K519" s="443" t="s"/>
      <c r="L519" s="714">
        <v>90</v>
      </c>
      <c r="M519" s="445" t="s"/>
      <c r="N519" s="446" t="s"/>
      <c r="O519" s="127" t="s"/>
      <c r="P519" s="532" t="s">
        <f>=IF(O519&gt;0,"逾期","正常")</f>
        <v>32</v>
      </c>
      <c r="Q519" s="582" t="s"/>
      <c r="R519" s="583" t="s"/>
    </row>
    <row r="520" spans="1:18" s="57" customFormat="1">
      <c r="A520" s="606" t="s">
        <v>458</v>
      </c>
      <c r="B520" s="607" t="s">
        <v>32</v>
      </c>
      <c r="C520" s="608" t="s">
        <v>459</v>
      </c>
      <c r="D520" s="609" t="s">
        <v>17</v>
      </c>
      <c r="E520" s="609" t="s">
        <v>18</v>
      </c>
      <c r="F520" s="599">
        <v>46022</v>
      </c>
      <c r="G520" s="610" t="s">
        <v>19</v>
      </c>
      <c r="H520" s="670" t="s">
        <v>309</v>
      </c>
      <c r="I520" s="612">
        <f>=F520</f>
        <v>46022</v>
      </c>
      <c r="J520" s="599">
        <v>46034</v>
      </c>
      <c r="K520" s="599">
        <v>46032</v>
      </c>
      <c r="L520" s="613">
        <f>=J520-I520</f>
        <v>12</v>
      </c>
      <c r="M520" s="599">
        <v>46030</v>
      </c>
      <c r="N520" s="598">
        <f>=M520-I520</f>
        <v>8</v>
      </c>
      <c r="O520" s="655">
        <f>=IF(M520="",TODAY()-J520,M520-J520)</f>
        <v>-4</v>
      </c>
      <c r="P520" s="131" t="s">
        <f>=IF(O520&gt;0,"逾期","正常")</f>
        <v>32</v>
      </c>
      <c r="Q520" s="615" t="s"/>
      <c r="R520" s="616" t="s"/>
    </row>
    <row r="521" spans="1:18" s="57" customFormat="1">
      <c r="A521" s="617" t="s"/>
      <c r="B521" s="618" t="s"/>
      <c r="C521" s="619" t="s"/>
      <c r="D521" s="620" t="s">
        <v>227</v>
      </c>
      <c r="E521" s="621" t="s">
        <v>23</v>
      </c>
      <c r="F521" s="622">
        <f>=F522-F520</f>
        <v>35</v>
      </c>
      <c r="G521" s="479" t="s">
        <v>24</v>
      </c>
      <c r="H521" s="671" t="s">
        <v>50</v>
      </c>
      <c r="I521" s="134">
        <f>=M520</f>
        <v>46030</v>
      </c>
      <c r="J521" s="134">
        <f>=F522</f>
        <v>46057</v>
      </c>
      <c r="K521" s="134">
        <f>=J521</f>
        <v>46057</v>
      </c>
      <c r="L521" s="492">
        <f>=J521-I521</f>
        <v>27</v>
      </c>
      <c r="M521" s="406">
        <v>46048</v>
      </c>
      <c r="N521" s="467">
        <f>=M521-I521</f>
        <v>18</v>
      </c>
      <c r="O521" s="127">
        <f>=IF(M521="",TODAY()-J521,M521-J521)</f>
        <v>-9</v>
      </c>
      <c r="P521" s="131" t="s">
        <f>=IF(O521&gt;0,"逾期","正常")</f>
        <v>32</v>
      </c>
      <c r="Q521" s="623" t="s">
        <v>460</v>
      </c>
      <c r="R521" s="624" t="s"/>
    </row>
    <row r="522" spans="1:18" s="57" customFormat="1">
      <c r="A522" s="617" t="s"/>
      <c r="B522" s="618" t="s"/>
      <c r="C522" s="619" t="s"/>
      <c r="D522" s="621" t="s">
        <v>28</v>
      </c>
      <c r="E522" s="621" t="s">
        <v>29</v>
      </c>
      <c r="F522" s="601">
        <v>46057</v>
      </c>
      <c r="G522" s="625" t="s">
        <v>30</v>
      </c>
      <c r="H522" s="672" t="s">
        <v>31</v>
      </c>
      <c r="I522" s="601">
        <f>=M521</f>
        <v>46048</v>
      </c>
      <c r="J522" s="601">
        <f>=I522+L522</f>
        <v>46055</v>
      </c>
      <c r="K522" s="601">
        <f>=J522</f>
        <v>46055</v>
      </c>
      <c r="L522" s="625">
        <v>7</v>
      </c>
      <c r="M522" s="601">
        <v>46050</v>
      </c>
      <c r="N522" s="467">
        <f>=M522-I522</f>
        <v>2</v>
      </c>
      <c r="O522" s="127">
        <f>=IF(M522="",TODAY()-J522,M522-J522)</f>
        <v>-5</v>
      </c>
      <c r="P522" s="131" t="s">
        <f>=IF(O522&gt;0,"逾期","正常")</f>
        <v>32</v>
      </c>
      <c r="Q522" s="623" t="s"/>
      <c r="R522" s="624" t="s"/>
    </row>
    <row r="523" spans="1:18" s="57" customFormat="1">
      <c r="A523" s="617" t="s"/>
      <c r="B523" s="618" t="s"/>
      <c r="C523" s="619" t="s"/>
      <c r="D523" s="626" t="s">
        <v>46</v>
      </c>
      <c r="E523" s="621" t="s">
        <v>34</v>
      </c>
      <c r="F523" s="627">
        <f>=IF(M521="",TODAY()-F520,M521-F520)</f>
        <v>26</v>
      </c>
      <c r="G523" s="625" t="s">
        <v>35</v>
      </c>
      <c r="H523" s="672" t="s">
        <v>124</v>
      </c>
      <c r="I523" s="601">
        <f>=M522</f>
        <v>46050</v>
      </c>
      <c r="J523" s="601">
        <f>=I523+L523</f>
        <v>46056</v>
      </c>
      <c r="K523" s="601">
        <f>=J523</f>
        <v>46056</v>
      </c>
      <c r="L523" s="625">
        <v>6</v>
      </c>
      <c r="M523" s="601">
        <v>46054</v>
      </c>
      <c r="N523" s="467">
        <f>=M523-I523</f>
        <v>4</v>
      </c>
      <c r="O523" s="127">
        <f>=IF(M523="",TODAY()-J523,M523-J523)</f>
        <v>-2</v>
      </c>
      <c r="P523" s="131" t="s">
        <f>=IF(O523&gt;0,"逾期","正常")</f>
        <v>32</v>
      </c>
      <c r="Q523" s="623" t="s">
        <v>461</v>
      </c>
      <c r="R523" s="624" t="s"/>
    </row>
    <row r="524" spans="1:18" s="57" customFormat="1">
      <c r="A524" s="631" t="s"/>
      <c r="B524" s="632" t="s"/>
      <c r="C524" s="633" t="s"/>
      <c r="D524" s="634" t="s">
        <v>36</v>
      </c>
      <c r="E524" s="634" t="s">
        <v>37</v>
      </c>
      <c r="F524" s="557">
        <v>0.5</v>
      </c>
      <c r="G524" s="666" t="s">
        <v>38</v>
      </c>
      <c r="H524" s="673" t="s">
        <f>=D521</f>
        <v>227</v>
      </c>
      <c r="I524" s="668">
        <f>=M523</f>
        <v>46054</v>
      </c>
      <c r="J524" s="668">
        <f>=I524+L524</f>
        <v>46144</v>
      </c>
      <c r="K524" s="668">
        <f>=J524</f>
        <v>46144</v>
      </c>
      <c r="L524" s="669">
        <v>90</v>
      </c>
      <c r="M524" s="668" t="s"/>
      <c r="N524" s="639" t="s"/>
      <c r="O524" s="127">
        <f>=IF(M524="",TODAY()-J524,M524-J524)</f>
        <v>-2</v>
      </c>
      <c r="P524" s="433" t="s">
        <f>=IF(O524&gt;0,"逾期","正常")</f>
        <v>32</v>
      </c>
      <c r="Q524" s="640" t="s"/>
      <c r="R524" s="641" t="s"/>
    </row>
    <row r="525" spans="1:18" s="57" customFormat="1">
      <c r="A525" s="606" t="s">
        <v>462</v>
      </c>
      <c r="B525" s="607" t="s">
        <v>32</v>
      </c>
      <c r="C525" s="608" t="s">
        <v>108</v>
      </c>
      <c r="D525" s="609" t="s">
        <v>17</v>
      </c>
      <c r="E525" s="609" t="s">
        <v>18</v>
      </c>
      <c r="F525" s="599">
        <v>46022</v>
      </c>
      <c r="G525" s="610" t="s">
        <v>19</v>
      </c>
      <c r="H525" s="670" t="s">
        <v>309</v>
      </c>
      <c r="I525" s="612">
        <f>=F525</f>
        <v>46022</v>
      </c>
      <c r="J525" s="599">
        <v>46037</v>
      </c>
      <c r="K525" s="599">
        <v>46034</v>
      </c>
      <c r="L525" s="613">
        <f>=J525-I525</f>
        <v>15</v>
      </c>
      <c r="M525" s="599">
        <v>46039</v>
      </c>
      <c r="N525" s="598">
        <f>=M525-I525</f>
        <v>17</v>
      </c>
      <c r="O525" s="655">
        <f>=IF(M525="",TODAY()-J525,M525-J525)</f>
        <v>2</v>
      </c>
      <c r="P525" s="131" t="s">
        <f>=IF(O525&gt;0,"逾期","正常")</f>
        <v>21</v>
      </c>
      <c r="Q525" s="615" t="s">
        <v>463</v>
      </c>
      <c r="R525" s="616" t="s"/>
    </row>
    <row r="526" spans="1:18" s="57" customFormat="1">
      <c r="A526" s="617" t="s"/>
      <c r="B526" s="618" t="s"/>
      <c r="C526" s="619" t="s"/>
      <c r="D526" s="620" t="s">
        <v>65</v>
      </c>
      <c r="E526" s="621" t="s">
        <v>23</v>
      </c>
      <c r="F526" s="622">
        <f>=F527-F525</f>
        <v>30</v>
      </c>
      <c r="G526" s="479" t="s">
        <v>24</v>
      </c>
      <c r="H526" s="671" t="s">
        <v>50</v>
      </c>
      <c r="I526" s="134">
        <f>=M525</f>
        <v>46039</v>
      </c>
      <c r="J526" s="134">
        <f>=F527</f>
        <v>46052</v>
      </c>
      <c r="K526" s="134">
        <f>=J526</f>
        <v>46052</v>
      </c>
      <c r="L526" s="492">
        <f>=J526-I526</f>
        <v>13</v>
      </c>
      <c r="M526" s="406">
        <v>46090</v>
      </c>
      <c r="N526" s="467">
        <f>=M526-I526</f>
        <v>51</v>
      </c>
      <c r="O526" s="127">
        <f>=IF(M526="",TODAY()-J526,M526-J526)</f>
        <v>38</v>
      </c>
      <c r="P526" s="131" t="s">
        <f>=IF(O526&gt;0,"逾期","正常")</f>
        <v>21</v>
      </c>
      <c r="Q526" s="623" t="s">
        <v>422</v>
      </c>
      <c r="R526" s="624" t="s"/>
    </row>
    <row r="527" spans="1:18" s="57" customFormat="1">
      <c r="A527" s="617" t="s"/>
      <c r="B527" s="618" t="s"/>
      <c r="C527" s="619" t="s"/>
      <c r="D527" s="621" t="s">
        <v>28</v>
      </c>
      <c r="E527" s="621" t="s">
        <v>29</v>
      </c>
      <c r="F527" s="601">
        <v>46052</v>
      </c>
      <c r="G527" s="625" t="s">
        <v>30</v>
      </c>
      <c r="H527" s="672" t="s">
        <v>31</v>
      </c>
      <c r="I527" s="601">
        <f>=M526</f>
        <v>46090</v>
      </c>
      <c r="J527" s="601">
        <f>=I527+L527</f>
        <v>46097</v>
      </c>
      <c r="K527" s="601">
        <f>=J527</f>
        <v>46097</v>
      </c>
      <c r="L527" s="625">
        <v>7</v>
      </c>
      <c r="M527" s="601">
        <v>46114</v>
      </c>
      <c r="N527" s="467">
        <f>=M527-I527</f>
        <v>24</v>
      </c>
      <c r="O527" s="127">
        <f>=IF(M527="",TODAY()-J527,M527-J527)</f>
        <v>17</v>
      </c>
      <c r="P527" s="131" t="s">
        <f>=IF(O527&gt;0,"逾期","正常")</f>
        <v>21</v>
      </c>
      <c r="Q527" s="623" t="s">
        <v>464</v>
      </c>
      <c r="R527" s="624" t="s"/>
    </row>
    <row r="528" spans="1:18" s="57" customFormat="1">
      <c r="A528" s="617" t="s"/>
      <c r="B528" s="618" t="s"/>
      <c r="C528" s="619" t="s"/>
      <c r="D528" s="626" t="s">
        <v>51</v>
      </c>
      <c r="E528" s="621" t="s">
        <v>34</v>
      </c>
      <c r="F528" s="627">
        <f>=IF(M526="",TODAY()-F525,M526-F525)</f>
        <v>68</v>
      </c>
      <c r="G528" s="715" t="s">
        <v>35</v>
      </c>
      <c r="H528" s="716" t="s">
        <v>110</v>
      </c>
      <c r="I528" s="717">
        <f>=M527</f>
        <v>46114</v>
      </c>
      <c r="J528" s="717">
        <f>=I528+L528</f>
        <v>46123</v>
      </c>
      <c r="K528" s="717">
        <f>=J528</f>
        <v>46123</v>
      </c>
      <c r="L528" s="715">
        <v>9</v>
      </c>
      <c r="M528" s="717">
        <v>46123</v>
      </c>
      <c r="N528" s="467">
        <f>=M528-I528</f>
        <v>9</v>
      </c>
      <c r="O528" s="127">
        <f>=IF(M528="",TODAY()-J528,M528-J528)</f>
        <v>0</v>
      </c>
      <c r="P528" s="131" t="s">
        <f>=IF(O528&gt;0,"逾期","正常")</f>
        <v>32</v>
      </c>
      <c r="Q528" s="623" t="s">
        <v>465</v>
      </c>
      <c r="R528" s="624" t="s"/>
    </row>
    <row r="529" spans="1:18" s="57" customFormat="1">
      <c r="A529" s="631" t="s"/>
      <c r="B529" s="632" t="s"/>
      <c r="C529" s="633" t="s"/>
      <c r="D529" s="634" t="s">
        <v>36</v>
      </c>
      <c r="E529" s="634" t="s">
        <v>37</v>
      </c>
      <c r="F529" s="557">
        <v>0.9</v>
      </c>
      <c r="G529" s="666" t="s">
        <v>38</v>
      </c>
      <c r="H529" s="673" t="s">
        <f>=D526</f>
        <v>65</v>
      </c>
      <c r="I529" s="668">
        <f>=M528</f>
        <v>46123</v>
      </c>
      <c r="J529" s="668">
        <f>=I529+L529</f>
        <v>46213</v>
      </c>
      <c r="K529" s="668">
        <f>=J529</f>
        <v>46213</v>
      </c>
      <c r="L529" s="669">
        <v>90</v>
      </c>
      <c r="M529" s="668" t="s"/>
      <c r="N529" s="639" t="s"/>
      <c r="O529" s="127">
        <f>=IF(M529="",TODAY()-J529,M529-J529)</f>
        <v>-71</v>
      </c>
      <c r="P529" s="433" t="s">
        <f>=IF(O529&gt;0,"逾期","正常")</f>
        <v>32</v>
      </c>
      <c r="Q529" s="640" t="s"/>
      <c r="R529" s="641" t="s"/>
    </row>
    <row r="530" spans="1:18">
      <c r="A530" s="373" t="s">
        <v>466</v>
      </c>
      <c r="B530" s="718" t="s">
        <v>15</v>
      </c>
      <c r="C530" s="375" t="s">
        <v>240</v>
      </c>
      <c r="D530" s="719" t="s">
        <v>17</v>
      </c>
      <c r="E530" s="719" t="s">
        <v>18</v>
      </c>
      <c r="F530" s="720">
        <v>45714</v>
      </c>
      <c r="G530" s="379" t="s">
        <v>19</v>
      </c>
      <c r="H530" s="721" t="s">
        <v>20</v>
      </c>
      <c r="I530" s="720">
        <v>45714</v>
      </c>
      <c r="J530" s="720">
        <v>45729</v>
      </c>
      <c r="K530" s="720">
        <v>45724</v>
      </c>
      <c r="L530" s="379">
        <v>15</v>
      </c>
      <c r="M530" s="722">
        <v>45722</v>
      </c>
      <c r="N530" s="723">
        <v>8</v>
      </c>
      <c r="O530" s="379">
        <v>-7</v>
      </c>
      <c r="P530" s="724" t="s">
        <v>32</v>
      </c>
      <c r="Q530" s="585" t="s"/>
      <c r="R530" s="574" t="s"/>
    </row>
    <row r="531" spans="1:18">
      <c r="A531" s="551" t="s"/>
      <c r="B531" s="552" t="s"/>
      <c r="C531" s="553" t="s"/>
      <c r="D531" s="420" t="s">
        <v>72</v>
      </c>
      <c r="E531" s="725" t="s">
        <v>23</v>
      </c>
      <c r="F531" s="392">
        <v>30</v>
      </c>
      <c r="G531" s="392" t="s">
        <v>24</v>
      </c>
      <c r="H531" s="708" t="s">
        <v>25</v>
      </c>
      <c r="I531" s="726">
        <v>45722</v>
      </c>
      <c r="J531" s="726">
        <v>45744</v>
      </c>
      <c r="K531" s="726">
        <v>45744</v>
      </c>
      <c r="L531" s="727">
        <v>22</v>
      </c>
      <c r="M531" s="728">
        <v>45730</v>
      </c>
      <c r="N531" s="729">
        <v>8</v>
      </c>
      <c r="O531" s="392">
        <v>-14</v>
      </c>
      <c r="P531" s="724" t="s">
        <v>32</v>
      </c>
      <c r="Q531" s="576" t="s"/>
      <c r="R531" s="577" t="s"/>
    </row>
    <row r="532" spans="1:18">
      <c r="A532" s="551" t="s"/>
      <c r="B532" s="552" t="s"/>
      <c r="C532" s="553" t="s"/>
      <c r="D532" s="725" t="s">
        <v>28</v>
      </c>
      <c r="E532" s="725" t="s">
        <v>29</v>
      </c>
      <c r="F532" s="726">
        <v>45744</v>
      </c>
      <c r="G532" s="392" t="s">
        <v>30</v>
      </c>
      <c r="H532" s="708" t="s">
        <v>31</v>
      </c>
      <c r="I532" s="726">
        <v>45730</v>
      </c>
      <c r="J532" s="726">
        <v>45737</v>
      </c>
      <c r="K532" s="726">
        <v>45737</v>
      </c>
      <c r="L532" s="727">
        <v>7</v>
      </c>
      <c r="M532" s="728">
        <v>45737</v>
      </c>
      <c r="N532" s="729">
        <v>7</v>
      </c>
      <c r="O532" s="730">
        <v>0</v>
      </c>
      <c r="P532" s="724" t="s">
        <v>32</v>
      </c>
      <c r="Q532" s="731" t="s">
        <v>467</v>
      </c>
      <c r="R532" s="577" t="s"/>
    </row>
    <row r="533" spans="1:18">
      <c r="A533" s="551" t="s"/>
      <c r="B533" s="552" t="s"/>
      <c r="C533" s="553" t="s"/>
      <c r="D533" s="725" t="s">
        <v>51</v>
      </c>
      <c r="E533" s="725" t="s">
        <v>34</v>
      </c>
      <c r="F533" s="392">
        <v>16</v>
      </c>
      <c r="G533" s="435" t="s">
        <v>35</v>
      </c>
      <c r="H533" s="732" t="s">
        <v>138</v>
      </c>
      <c r="I533" s="733">
        <v>45738</v>
      </c>
      <c r="J533" s="733">
        <v>45748</v>
      </c>
      <c r="K533" s="733">
        <v>45748</v>
      </c>
      <c r="L533" s="734">
        <v>10</v>
      </c>
      <c r="M533" s="735" t="s"/>
      <c r="N533" s="403" t="s"/>
      <c r="O533" s="127">
        <f>=IF(M533="",TODAY()-J533,M533-J533)</f>
        <v>402</v>
      </c>
      <c r="P533" s="736" t="s">
        <v>21</v>
      </c>
      <c r="Q533" s="731" t="s">
        <v>468</v>
      </c>
      <c r="R533" s="577" t="s"/>
    </row>
    <row r="534" spans="1:18">
      <c r="A534" s="551" t="s"/>
      <c r="B534" s="552" t="s"/>
      <c r="C534" s="553" t="s"/>
      <c r="D534" s="737" t="s">
        <v>36</v>
      </c>
      <c r="E534" s="737" t="s">
        <v>37</v>
      </c>
      <c r="F534" s="557">
        <v>1</v>
      </c>
      <c r="G534" s="392" t="s">
        <v>38</v>
      </c>
      <c r="H534" s="738" t="s">
        <v>72</v>
      </c>
      <c r="I534" s="597" t="s"/>
      <c r="J534" s="597" t="s"/>
      <c r="K534" s="597" t="s"/>
      <c r="L534" s="739">
        <v>90</v>
      </c>
      <c r="M534" s="740" t="s"/>
      <c r="N534" s="597" t="s"/>
      <c r="O534" s="467" t="s"/>
      <c r="P534" s="532" t="s">
        <v>32</v>
      </c>
      <c r="Q534" s="741" t="s"/>
      <c r="R534" s="583" t="s"/>
    </row>
    <row r="535" spans="1:18" s="57" customFormat="1">
      <c r="A535" s="606" t="s">
        <v>469</v>
      </c>
      <c r="B535" s="607" t="s">
        <v>32</v>
      </c>
      <c r="C535" s="608" t="s">
        <v>132</v>
      </c>
      <c r="D535" s="609" t="s">
        <v>17</v>
      </c>
      <c r="E535" s="609" t="s">
        <v>18</v>
      </c>
      <c r="F535" s="599">
        <v>46027</v>
      </c>
      <c r="G535" s="610" t="s">
        <v>19</v>
      </c>
      <c r="H535" s="670" t="s">
        <v>63</v>
      </c>
      <c r="I535" s="612">
        <f>=F535</f>
        <v>46027</v>
      </c>
      <c r="J535" s="599">
        <v>46045</v>
      </c>
      <c r="K535" s="599">
        <v>46042</v>
      </c>
      <c r="L535" s="613">
        <f>=J535-I535</f>
        <v>18</v>
      </c>
      <c r="M535" s="599">
        <v>46041</v>
      </c>
      <c r="N535" s="598">
        <f>=M535-I535</f>
        <v>14</v>
      </c>
      <c r="O535" s="614">
        <f>=IF(M535="",TODAY()-J535,M535-J535)</f>
        <v>-4</v>
      </c>
      <c r="P535" s="131" t="s">
        <f>=IF(O535&gt;0,"逾期","正常")</f>
        <v>32</v>
      </c>
      <c r="Q535" s="615" t="s"/>
      <c r="R535" s="616" t="s"/>
    </row>
    <row r="536" spans="1:18" s="57" customFormat="1">
      <c r="A536" s="617" t="s"/>
      <c r="B536" s="618" t="s"/>
      <c r="C536" s="619" t="s"/>
      <c r="D536" s="620" t="s">
        <v>22</v>
      </c>
      <c r="E536" s="621" t="s">
        <v>23</v>
      </c>
      <c r="F536" s="622">
        <f>=F537-F535</f>
        <v>35</v>
      </c>
      <c r="G536" s="479" t="s">
        <v>24</v>
      </c>
      <c r="H536" s="671" t="s">
        <v>25</v>
      </c>
      <c r="I536" s="134">
        <f>=M535</f>
        <v>46041</v>
      </c>
      <c r="J536" s="134">
        <f>=F537</f>
        <v>46062</v>
      </c>
      <c r="K536" s="134">
        <f>=J536</f>
        <v>46062</v>
      </c>
      <c r="L536" s="492">
        <f>=J536-I536</f>
        <v>21</v>
      </c>
      <c r="M536" s="406">
        <v>46059</v>
      </c>
      <c r="N536" s="467">
        <f>=M536-I536</f>
        <v>18</v>
      </c>
      <c r="O536" s="127">
        <f>=IF(M536="",TODAY()-J536,M536-J536)</f>
        <v>-3</v>
      </c>
      <c r="P536" s="131" t="s">
        <f>=IF(O536&gt;0,"逾期","正常")</f>
        <v>32</v>
      </c>
      <c r="Q536" s="623" t="s"/>
      <c r="R536" s="624" t="s"/>
    </row>
    <row r="537" spans="1:18" s="57" customFormat="1">
      <c r="A537" s="617" t="s"/>
      <c r="B537" s="618" t="s"/>
      <c r="C537" s="619" t="s"/>
      <c r="D537" s="621" t="s">
        <v>28</v>
      </c>
      <c r="E537" s="621" t="s">
        <v>29</v>
      </c>
      <c r="F537" s="601">
        <v>46062</v>
      </c>
      <c r="G537" s="625" t="s">
        <v>30</v>
      </c>
      <c r="H537" s="672" t="s">
        <v>31</v>
      </c>
      <c r="I537" s="601">
        <f>=M536</f>
        <v>46059</v>
      </c>
      <c r="J537" s="601">
        <f>=I537+L537</f>
        <v>46066</v>
      </c>
      <c r="K537" s="601">
        <f>=J537</f>
        <v>46066</v>
      </c>
      <c r="L537" s="625">
        <v>7</v>
      </c>
      <c r="M537" s="601">
        <v>46080</v>
      </c>
      <c r="N537" s="467">
        <f>=M537-I537</f>
        <v>21</v>
      </c>
      <c r="O537" s="127">
        <f>=IF(M537="",TODAY()-J537,M537-J537)</f>
        <v>14</v>
      </c>
      <c r="P537" s="131" t="s">
        <f>=IF(O537&gt;0,"逾期","正常")</f>
        <v>21</v>
      </c>
      <c r="Q537" s="623" t="s">
        <v>470</v>
      </c>
      <c r="R537" s="624" t="s"/>
    </row>
    <row r="538" spans="1:18" s="57" customFormat="1">
      <c r="A538" s="617" t="s"/>
      <c r="B538" s="618" t="s"/>
      <c r="C538" s="619" t="s"/>
      <c r="D538" s="626" t="s">
        <v>51</v>
      </c>
      <c r="E538" s="621" t="s">
        <v>34</v>
      </c>
      <c r="F538" s="627">
        <f>=IF(M536="",TODAY()-F535,M536-F535)</f>
        <v>32</v>
      </c>
      <c r="G538" s="625" t="s">
        <v>35</v>
      </c>
      <c r="H538" s="672" t="s">
        <v>138</v>
      </c>
      <c r="I538" s="601">
        <f>=M537</f>
        <v>46080</v>
      </c>
      <c r="J538" s="601">
        <f>=I538+L538</f>
        <v>46095</v>
      </c>
      <c r="K538" s="601">
        <f>=J538</f>
        <v>46095</v>
      </c>
      <c r="L538" s="625">
        <v>15</v>
      </c>
      <c r="M538" s="601">
        <v>46139</v>
      </c>
      <c r="N538" s="467">
        <f>=M538-I538</f>
        <v>59</v>
      </c>
      <c r="O538" s="127">
        <f>=IF(M538="",TODAY()-J538,M538-J538)</f>
        <v>44</v>
      </c>
      <c r="P538" s="131" t="s">
        <f>=IF(O538&gt;0,"逾期","正常")</f>
        <v>21</v>
      </c>
      <c r="Q538" s="623" t="s">
        <v>471</v>
      </c>
      <c r="R538" s="624" t="s"/>
    </row>
    <row r="539" spans="1:18" s="57" customFormat="1">
      <c r="A539" s="631" t="s"/>
      <c r="B539" s="632" t="s"/>
      <c r="C539" s="633" t="s"/>
      <c r="D539" s="634" t="s">
        <v>36</v>
      </c>
      <c r="E539" s="634" t="s">
        <v>37</v>
      </c>
      <c r="F539" s="557">
        <v>0.6</v>
      </c>
      <c r="G539" s="666" t="s">
        <v>38</v>
      </c>
      <c r="H539" s="673" t="s">
        <f>=D536</f>
        <v>22</v>
      </c>
      <c r="I539" s="668">
        <f>=M538</f>
        <v>46139</v>
      </c>
      <c r="J539" s="668">
        <f>=I539+L539</f>
        <v>46229</v>
      </c>
      <c r="K539" s="668">
        <f>=J539</f>
        <v>46229</v>
      </c>
      <c r="L539" s="669">
        <v>90</v>
      </c>
      <c r="M539" s="668" t="s"/>
      <c r="N539" s="639" t="s"/>
      <c r="O539" s="127">
        <f>=IF(M539="",TODAY()-J539,M539-J539)</f>
        <v>-79</v>
      </c>
      <c r="P539" s="433" t="s">
        <f>=IF(O539&gt;0,"逾期","正常")</f>
        <v>32</v>
      </c>
      <c r="Q539" s="640" t="s"/>
      <c r="R539" s="641" t="s"/>
    </row>
    <row r="540" spans="1:18" s="57" customFormat="1">
      <c r="A540" s="606" t="s">
        <v>472</v>
      </c>
      <c r="B540" s="607" t="s">
        <v>32</v>
      </c>
      <c r="C540" s="608" t="s">
        <v>473</v>
      </c>
      <c r="D540" s="609" t="s">
        <v>17</v>
      </c>
      <c r="E540" s="609" t="s">
        <v>18</v>
      </c>
      <c r="F540" s="599">
        <v>46027</v>
      </c>
      <c r="G540" s="610" t="s">
        <v>19</v>
      </c>
      <c r="H540" s="670" t="s">
        <v>309</v>
      </c>
      <c r="I540" s="612">
        <f>=F540</f>
        <v>46027</v>
      </c>
      <c r="J540" s="599">
        <v>46032</v>
      </c>
      <c r="K540" s="599">
        <v>46032</v>
      </c>
      <c r="L540" s="613">
        <f>=J540-I540</f>
        <v>5</v>
      </c>
      <c r="M540" s="599">
        <v>46028</v>
      </c>
      <c r="N540" s="598">
        <f>=M540-I540</f>
        <v>1</v>
      </c>
      <c r="O540" s="655">
        <f>=IF(M540="",TODAY()-J540,M540-J540)</f>
        <v>-4</v>
      </c>
      <c r="P540" s="131" t="s">
        <f>=IF(O540&gt;0,"逾期","正常")</f>
        <v>32</v>
      </c>
      <c r="Q540" s="615" t="s">
        <v>474</v>
      </c>
      <c r="R540" s="616" t="s"/>
    </row>
    <row r="541" spans="1:18" s="57" customFormat="1">
      <c r="A541" s="617" t="s"/>
      <c r="B541" s="618" t="s"/>
      <c r="C541" s="619" t="s"/>
      <c r="D541" s="620" t="s">
        <v>180</v>
      </c>
      <c r="E541" s="621" t="s">
        <v>23</v>
      </c>
      <c r="F541" s="622">
        <f>=F542-F540</f>
        <v>10</v>
      </c>
      <c r="G541" s="742" t="s">
        <v>24</v>
      </c>
      <c r="H541" s="674" t="s">
        <v>50</v>
      </c>
      <c r="I541" s="743">
        <f>=M540</f>
        <v>46028</v>
      </c>
      <c r="J541" s="744">
        <f>=F542</f>
        <v>46037</v>
      </c>
      <c r="K541" s="744">
        <f>=J541</f>
        <v>46037</v>
      </c>
      <c r="L541" s="501">
        <f>=J541-I541</f>
        <v>9</v>
      </c>
      <c r="M541" s="745">
        <v>46086</v>
      </c>
      <c r="N541" s="467">
        <f>=M541-I541</f>
        <v>58</v>
      </c>
      <c r="O541" s="127">
        <f>=IF(M541="",TODAY()-J541,M541-J541)</f>
        <v>49</v>
      </c>
      <c r="P541" s="131" t="s">
        <f>=IF(O541&gt;0,"逾期","正常")</f>
        <v>21</v>
      </c>
      <c r="Q541" s="623" t="s">
        <v>475</v>
      </c>
      <c r="R541" s="624" t="s"/>
    </row>
    <row r="542" spans="1:18" s="57" customFormat="1">
      <c r="A542" s="617" t="s"/>
      <c r="B542" s="618" t="s"/>
      <c r="C542" s="619" t="s"/>
      <c r="D542" s="621" t="s">
        <v>28</v>
      </c>
      <c r="E542" s="621" t="s">
        <v>29</v>
      </c>
      <c r="F542" s="601">
        <v>46037</v>
      </c>
      <c r="G542" s="625" t="s">
        <v>30</v>
      </c>
      <c r="H542" s="672" t="s">
        <v>31</v>
      </c>
      <c r="I542" s="601">
        <f>=M541</f>
        <v>46086</v>
      </c>
      <c r="J542" s="601">
        <f>=I542+L542</f>
        <v>46093</v>
      </c>
      <c r="K542" s="601">
        <f>=J542</f>
        <v>46093</v>
      </c>
      <c r="L542" s="625">
        <v>7</v>
      </c>
      <c r="M542" s="601">
        <v>46087</v>
      </c>
      <c r="N542" s="467">
        <f>=M542-I542</f>
        <v>1</v>
      </c>
      <c r="O542" s="127">
        <f>=IF(M542="",TODAY()-J542,M542-J542)</f>
        <v>-6</v>
      </c>
      <c r="P542" s="131" t="s">
        <f>=IF(O542&gt;0,"逾期","正常")</f>
        <v>32</v>
      </c>
      <c r="Q542" s="623" t="s"/>
      <c r="R542" s="624" t="s"/>
    </row>
    <row r="543" spans="1:18" s="57" customFormat="1">
      <c r="A543" s="617" t="s"/>
      <c r="B543" s="618" t="s"/>
      <c r="C543" s="619" t="s"/>
      <c r="D543" s="626" t="s">
        <v>46</v>
      </c>
      <c r="E543" s="621" t="s">
        <v>34</v>
      </c>
      <c r="F543" s="627">
        <f>=IF(M541="",TODAY()-F540,M541-F540)</f>
        <v>59</v>
      </c>
      <c r="G543" s="625" t="s">
        <v>35</v>
      </c>
      <c r="H543" s="672" t="s">
        <v>224</v>
      </c>
      <c r="I543" s="601">
        <f>=M542</f>
        <v>46087</v>
      </c>
      <c r="J543" s="601">
        <f>=I543+L543</f>
        <v>46100</v>
      </c>
      <c r="K543" s="601">
        <f>=J543</f>
        <v>46100</v>
      </c>
      <c r="L543" s="625">
        <v>13</v>
      </c>
      <c r="M543" s="601">
        <v>46099</v>
      </c>
      <c r="N543" s="467">
        <f>=M543-I543</f>
        <v>12</v>
      </c>
      <c r="O543" s="127">
        <f>=IF(M543="",TODAY()-J543,M543-J543)</f>
        <v>-1</v>
      </c>
      <c r="P543" s="131" t="s">
        <f>=IF(O543&gt;0,"逾期","正常")</f>
        <v>32</v>
      </c>
      <c r="Q543" s="623" t="s">
        <v>476</v>
      </c>
      <c r="R543" s="624" t="s"/>
    </row>
    <row r="544" spans="1:18" s="57" customFormat="1">
      <c r="A544" s="631" t="s"/>
      <c r="B544" s="632" t="s"/>
      <c r="C544" s="633" t="s"/>
      <c r="D544" s="634" t="s">
        <v>36</v>
      </c>
      <c r="E544" s="634" t="s">
        <v>37</v>
      </c>
      <c r="F544" s="557">
        <v>0.9</v>
      </c>
      <c r="G544" s="666" t="s">
        <v>38</v>
      </c>
      <c r="H544" s="673" t="s">
        <f>=D541</f>
        <v>180</v>
      </c>
      <c r="I544" s="668">
        <f>=M543</f>
        <v>46099</v>
      </c>
      <c r="J544" s="668">
        <f>=I544+L544</f>
        <v>46189</v>
      </c>
      <c r="K544" s="668">
        <f>=J544</f>
        <v>46189</v>
      </c>
      <c r="L544" s="669">
        <v>90</v>
      </c>
      <c r="M544" s="668" t="s"/>
      <c r="N544" s="639" t="s"/>
      <c r="O544" s="127">
        <f>=IF(M544="",TODAY()-J544,M544-J544)</f>
        <v>-47</v>
      </c>
      <c r="P544" s="433" t="s">
        <f>=IF(O544&gt;0,"逾期","正常")</f>
        <v>32</v>
      </c>
      <c r="Q544" s="640" t="s"/>
      <c r="R544" s="641" t="s"/>
    </row>
    <row r="545" spans="1:18" s="57" customFormat="1">
      <c r="A545" s="852" t="s">
        <v>477</v>
      </c>
      <c r="B545" s="853" t="s">
        <v>32</v>
      </c>
      <c r="C545" s="854" t="s">
        <v>132</v>
      </c>
      <c r="D545" s="855" t="s">
        <v>17</v>
      </c>
      <c r="E545" s="855" t="s">
        <v>18</v>
      </c>
      <c r="F545" s="849">
        <v>46035</v>
      </c>
      <c r="G545" s="854" t="s">
        <v>19</v>
      </c>
      <c r="H545" s="856" t="s">
        <v>41</v>
      </c>
      <c r="I545" s="857">
        <f>=F545</f>
        <v>46035</v>
      </c>
      <c r="J545" s="849">
        <v>46050</v>
      </c>
      <c r="K545" s="849">
        <v>46047</v>
      </c>
      <c r="L545" s="858">
        <f>=J545-I545</f>
        <v>15</v>
      </c>
      <c r="M545" s="849">
        <v>46036</v>
      </c>
      <c r="N545" s="819">
        <f>=M545-I545</f>
        <v>1</v>
      </c>
      <c r="O545" s="859">
        <f>=IF(M545="",TODAY()-J545,M545-J545)</f>
        <v>-14</v>
      </c>
      <c r="P545" s="821" t="s">
        <f>=IF(O545&gt;0,"逾期","正常")</f>
        <v>32</v>
      </c>
      <c r="Q545" s="860" t="s"/>
      <c r="R545" s="861" t="s"/>
    </row>
    <row r="546" spans="1:18" s="57" customFormat="1">
      <c r="A546" s="617" t="s"/>
      <c r="B546" s="618" t="s"/>
      <c r="C546" s="619" t="s"/>
      <c r="D546" s="862" t="s">
        <v>72</v>
      </c>
      <c r="E546" s="863" t="s">
        <v>23</v>
      </c>
      <c r="F546" s="864">
        <f>=F547-F545</f>
        <v>35</v>
      </c>
      <c r="G546" s="827" t="s">
        <v>24</v>
      </c>
      <c r="H546" s="865" t="s">
        <v>25</v>
      </c>
      <c r="I546" s="828">
        <f>=M545</f>
        <v>46036</v>
      </c>
      <c r="J546" s="828">
        <f>=F547</f>
        <v>46070</v>
      </c>
      <c r="K546" s="828">
        <f>=J546</f>
        <v>46070</v>
      </c>
      <c r="L546" s="829">
        <f>=J546-I546</f>
        <v>34</v>
      </c>
      <c r="M546" s="830">
        <v>46056</v>
      </c>
      <c r="N546" s="831">
        <f>=M546-I546</f>
        <v>20</v>
      </c>
      <c r="O546" s="832">
        <f>=IF(M546="",TODAY()-J546,M546-J546)</f>
        <v>-14</v>
      </c>
      <c r="P546" s="821" t="s">
        <f>=IF(O546&gt;0,"逾期","正常")</f>
        <v>32</v>
      </c>
      <c r="Q546" s="866" t="s"/>
      <c r="R546" s="867" t="s"/>
    </row>
    <row r="547" spans="1:18" s="57" customFormat="1">
      <c r="A547" s="617" t="s"/>
      <c r="B547" s="618" t="s"/>
      <c r="C547" s="619" t="s"/>
      <c r="D547" s="863" t="s">
        <v>28</v>
      </c>
      <c r="E547" s="863" t="s">
        <v>29</v>
      </c>
      <c r="F547" s="850">
        <v>46070</v>
      </c>
      <c r="G547" s="868" t="s">
        <v>30</v>
      </c>
      <c r="H547" s="869" t="s">
        <v>31</v>
      </c>
      <c r="I547" s="850">
        <f>=M546</f>
        <v>46056</v>
      </c>
      <c r="J547" s="850">
        <f>=I547+L547</f>
        <v>46063</v>
      </c>
      <c r="K547" s="850">
        <f>=J547</f>
        <v>46063</v>
      </c>
      <c r="L547" s="868">
        <v>7</v>
      </c>
      <c r="M547" s="850">
        <v>46088</v>
      </c>
      <c r="N547" s="831">
        <f>=M547-I547</f>
        <v>32</v>
      </c>
      <c r="O547" s="832">
        <f>=IF(M547="",TODAY()-J547,M547-J547)</f>
        <v>25</v>
      </c>
      <c r="P547" s="821" t="s">
        <f>=IF(O547&gt;0,"逾期","正常")</f>
        <v>21</v>
      </c>
      <c r="Q547" s="866" t="s">
        <v>478</v>
      </c>
      <c r="R547" s="867" t="s"/>
    </row>
    <row r="548" spans="1:18" s="57" customFormat="1">
      <c r="A548" s="617" t="s"/>
      <c r="B548" s="618" t="s"/>
      <c r="C548" s="619" t="s"/>
      <c r="D548" s="870" t="s">
        <v>46</v>
      </c>
      <c r="E548" s="863" t="s">
        <v>34</v>
      </c>
      <c r="F548" s="871">
        <f>=IF(M546="",TODAY()-F545,M546-F545)</f>
        <v>21</v>
      </c>
      <c r="G548" s="868" t="s">
        <v>35</v>
      </c>
      <c r="H548" s="869" t="s">
        <v>423</v>
      </c>
      <c r="I548" s="850">
        <f>=M547</f>
        <v>46088</v>
      </c>
      <c r="J548" s="850">
        <f>=I548+L548</f>
        <v>46092</v>
      </c>
      <c r="K548" s="850">
        <f>=J548</f>
        <v>46092</v>
      </c>
      <c r="L548" s="868">
        <v>4</v>
      </c>
      <c r="M548" s="850">
        <v>46104</v>
      </c>
      <c r="N548" s="831">
        <f>=M548-I548</f>
        <v>16</v>
      </c>
      <c r="O548" s="832">
        <f>=IF(M548="",TODAY()-J548,M548-J548)</f>
        <v>12</v>
      </c>
      <c r="P548" s="821" t="s">
        <f>=IF(O548&gt;0,"逾期","正常")</f>
        <v>21</v>
      </c>
      <c r="Q548" s="866" t="s">
        <v>479</v>
      </c>
      <c r="R548" s="867" t="s"/>
    </row>
    <row r="549" spans="1:18" s="57" customFormat="1">
      <c r="A549" s="631" t="s"/>
      <c r="B549" s="632" t="s"/>
      <c r="C549" s="633" t="s"/>
      <c r="D549" s="872" t="s">
        <v>36</v>
      </c>
      <c r="E549" s="872" t="s">
        <v>37</v>
      </c>
      <c r="F549" s="840">
        <v>1</v>
      </c>
      <c r="G549" s="873" t="s">
        <v>38</v>
      </c>
      <c r="H549" s="874" t="s">
        <f>=D546</f>
        <v>72</v>
      </c>
      <c r="I549" s="851">
        <f>=M548</f>
        <v>46104</v>
      </c>
      <c r="J549" s="851">
        <f>=I549+L549</f>
        <v>46194</v>
      </c>
      <c r="K549" s="851">
        <f>=J549</f>
        <v>46194</v>
      </c>
      <c r="L549" s="875">
        <v>90</v>
      </c>
      <c r="M549" s="851">
        <v>46150</v>
      </c>
      <c r="N549" s="831">
        <f>=M549-I549</f>
        <v>46</v>
      </c>
      <c r="O549" s="832">
        <f>=IF(M549="",TODAY()-J549,M549-J549)</f>
        <v>-44</v>
      </c>
      <c r="P549" s="846" t="s">
        <f>=IF(O549&gt;0,"逾期","正常")</f>
        <v>32</v>
      </c>
      <c r="Q549" s="876" t="s"/>
      <c r="R549" s="877" t="s"/>
    </row>
    <row r="550" spans="1:18" s="57" customFormat="1">
      <c r="A550" s="606" t="s">
        <v>480</v>
      </c>
      <c r="B550" s="607" t="s">
        <v>32</v>
      </c>
      <c r="C550" s="608" t="s">
        <v>89</v>
      </c>
      <c r="D550" s="609" t="s">
        <v>17</v>
      </c>
      <c r="E550" s="609" t="s">
        <v>18</v>
      </c>
      <c r="F550" s="599">
        <v>46035</v>
      </c>
      <c r="G550" s="610" t="s">
        <v>19</v>
      </c>
      <c r="H550" s="670" t="s">
        <v>309</v>
      </c>
      <c r="I550" s="612">
        <f>=F550</f>
        <v>46035</v>
      </c>
      <c r="J550" s="599">
        <v>46050</v>
      </c>
      <c r="K550" s="599">
        <v>46047</v>
      </c>
      <c r="L550" s="613">
        <f>=J550-I550</f>
        <v>15</v>
      </c>
      <c r="M550" s="599">
        <v>46037</v>
      </c>
      <c r="N550" s="598">
        <f>=M550-I550</f>
        <v>2</v>
      </c>
      <c r="O550" s="655">
        <f>=IF(M550="",TODAY()-J550,M550-J550)</f>
        <v>-13</v>
      </c>
      <c r="P550" s="131" t="s">
        <f>=IF(O550&gt;0,"逾期","正常")</f>
        <v>32</v>
      </c>
      <c r="Q550" s="615" t="s">
        <v>481</v>
      </c>
      <c r="R550" s="616" t="s"/>
    </row>
    <row r="551" spans="1:18" s="57" customFormat="1">
      <c r="A551" s="617" t="s"/>
      <c r="B551" s="618" t="s"/>
      <c r="C551" s="619" t="s"/>
      <c r="D551" s="620" t="s">
        <v>57</v>
      </c>
      <c r="E551" s="621" t="s">
        <v>23</v>
      </c>
      <c r="F551" s="622">
        <f>=F552-F550</f>
        <v>30</v>
      </c>
      <c r="G551" s="679" t="s">
        <v>24</v>
      </c>
      <c r="H551" s="671" t="s">
        <v>50</v>
      </c>
      <c r="I551" s="452">
        <f>=M550</f>
        <v>46037</v>
      </c>
      <c r="J551" s="452">
        <f>=F552</f>
        <v>46065</v>
      </c>
      <c r="K551" s="452">
        <f>=J551</f>
        <v>46065</v>
      </c>
      <c r="L551" s="492">
        <f>=J551-I551</f>
        <v>28</v>
      </c>
      <c r="M551" s="454">
        <v>46059</v>
      </c>
      <c r="N551" s="467">
        <f>=M551-I551</f>
        <v>22</v>
      </c>
      <c r="O551" s="127">
        <f>=IF(M551="",TODAY()-J551,M551-J551)</f>
        <v>-6</v>
      </c>
      <c r="P551" s="131" t="s">
        <f>=IF(O551&gt;0,"逾期","正常")</f>
        <v>32</v>
      </c>
      <c r="Q551" s="623" t="s">
        <v>482</v>
      </c>
      <c r="R551" s="624" t="s"/>
    </row>
    <row r="552" spans="1:18" s="57" customFormat="1">
      <c r="A552" s="617" t="s"/>
      <c r="B552" s="618" t="s"/>
      <c r="C552" s="619" t="s"/>
      <c r="D552" s="621" t="s">
        <v>28</v>
      </c>
      <c r="E552" s="621" t="s">
        <v>29</v>
      </c>
      <c r="F552" s="601">
        <v>46065</v>
      </c>
      <c r="G552" s="625" t="s">
        <v>30</v>
      </c>
      <c r="H552" s="672" t="s">
        <v>31</v>
      </c>
      <c r="I552" s="601">
        <f>=M551</f>
        <v>46059</v>
      </c>
      <c r="J552" s="601">
        <f>=I552+L552</f>
        <v>46066</v>
      </c>
      <c r="K552" s="601">
        <f>=J552</f>
        <v>46066</v>
      </c>
      <c r="L552" s="625">
        <v>7</v>
      </c>
      <c r="M552" s="601">
        <v>46089</v>
      </c>
      <c r="N552" s="403">
        <f>=M552-I552</f>
        <v>30</v>
      </c>
      <c r="O552" s="127">
        <f>=IF(M552="",TODAY()-J552,M552-J552)</f>
        <v>23</v>
      </c>
      <c r="P552" s="131" t="s">
        <f>=IF(O552&gt;0,"逾期","正常")</f>
        <v>21</v>
      </c>
      <c r="Q552" s="623" t="s">
        <v>483</v>
      </c>
      <c r="R552" s="624" t="s"/>
    </row>
    <row r="553" spans="1:18" s="57" customFormat="1">
      <c r="A553" s="617" t="s"/>
      <c r="B553" s="618" t="s"/>
      <c r="C553" s="619" t="s"/>
      <c r="D553" s="626" t="s">
        <v>33</v>
      </c>
      <c r="E553" s="621" t="s">
        <v>34</v>
      </c>
      <c r="F553" s="627">
        <f>=IF(M551="",TODAY()-F550,M551-F550)</f>
        <v>24</v>
      </c>
      <c r="G553" s="630" t="s">
        <v>35</v>
      </c>
      <c r="H553" s="675" t="s">
        <v>73</v>
      </c>
      <c r="I553" s="651">
        <f>=M552</f>
        <v>46089</v>
      </c>
      <c r="J553" s="651">
        <f>=I553+L553</f>
        <v>46092</v>
      </c>
      <c r="K553" s="651">
        <f>=J553</f>
        <v>46092</v>
      </c>
      <c r="L553" s="630">
        <v>3</v>
      </c>
      <c r="M553" s="651">
        <v>46091</v>
      </c>
      <c r="N553" s="403">
        <f>=M553-I553</f>
        <v>2</v>
      </c>
      <c r="O553" s="127">
        <f>=IF(M553="",TODAY()-J553,M553-J553)</f>
        <v>-1</v>
      </c>
      <c r="P553" s="131" t="s">
        <f>=IF(O553&gt;0,"逾期","正常")</f>
        <v>32</v>
      </c>
      <c r="Q553" s="623" t="s"/>
      <c r="R553" s="624" t="s"/>
    </row>
    <row r="554" spans="1:18" s="57" customFormat="1">
      <c r="A554" s="631" t="s"/>
      <c r="B554" s="632" t="s"/>
      <c r="C554" s="633" t="s"/>
      <c r="D554" s="634" t="s">
        <v>36</v>
      </c>
      <c r="E554" s="634" t="s">
        <v>37</v>
      </c>
      <c r="F554" s="557">
        <v>0.5</v>
      </c>
      <c r="G554" s="666" t="s">
        <v>38</v>
      </c>
      <c r="H554" s="673" t="s">
        <f>=D551</f>
        <v>57</v>
      </c>
      <c r="I554" s="668">
        <f>=M553</f>
        <v>46091</v>
      </c>
      <c r="J554" s="668">
        <f>=I554+L554</f>
        <v>46181</v>
      </c>
      <c r="K554" s="668">
        <f>=J554</f>
        <v>46181</v>
      </c>
      <c r="L554" s="669">
        <v>90</v>
      </c>
      <c r="M554" s="668" t="s"/>
      <c r="N554" s="639" t="s"/>
      <c r="O554" s="127">
        <f>=IF(M554="",TODAY()-J554,M554-J554)</f>
        <v>-39</v>
      </c>
      <c r="P554" s="433" t="s">
        <f>=IF(O554&gt;0,"逾期","正常")</f>
        <v>32</v>
      </c>
      <c r="Q554" s="640" t="s"/>
      <c r="R554" s="641" t="s"/>
    </row>
    <row r="555" spans="1:18" s="57" customFormat="1">
      <c r="A555" s="606" t="s">
        <v>484</v>
      </c>
      <c r="B555" s="607" t="s">
        <v>32</v>
      </c>
      <c r="C555" s="608" t="s">
        <v>132</v>
      </c>
      <c r="D555" s="609" t="s">
        <v>17</v>
      </c>
      <c r="E555" s="609" t="s">
        <v>18</v>
      </c>
      <c r="F555" s="599">
        <v>46036</v>
      </c>
      <c r="G555" s="610" t="s">
        <v>19</v>
      </c>
      <c r="H555" s="670" t="s">
        <v>49</v>
      </c>
      <c r="I555" s="612">
        <f>=F555</f>
        <v>46036</v>
      </c>
      <c r="J555" s="599">
        <v>46051</v>
      </c>
      <c r="K555" s="599">
        <v>46048</v>
      </c>
      <c r="L555" s="613">
        <f>=J555-I555</f>
        <v>15</v>
      </c>
      <c r="M555" s="599">
        <v>46044</v>
      </c>
      <c r="N555" s="598">
        <f>=M555-I555</f>
        <v>8</v>
      </c>
      <c r="O555" s="655">
        <f>=IF(M555="",TODAY()-J555,M555-J555)</f>
        <v>-7</v>
      </c>
      <c r="P555" s="131" t="s">
        <f>=IF(O555&gt;0,"逾期","正常")</f>
        <v>32</v>
      </c>
      <c r="Q555" s="615" t="s"/>
      <c r="R555" s="616" t="s"/>
    </row>
    <row r="556" spans="1:18" s="57" customFormat="1">
      <c r="A556" s="617" t="s"/>
      <c r="B556" s="618" t="s"/>
      <c r="C556" s="619" t="s"/>
      <c r="D556" s="620" t="s">
        <v>42</v>
      </c>
      <c r="E556" s="621" t="s">
        <v>23</v>
      </c>
      <c r="F556" s="622">
        <f>=F557-F555</f>
        <v>35</v>
      </c>
      <c r="G556" s="479" t="s">
        <v>24</v>
      </c>
      <c r="H556" s="671" t="s">
        <v>25</v>
      </c>
      <c r="I556" s="134">
        <f>=M555</f>
        <v>46044</v>
      </c>
      <c r="J556" s="134">
        <f>=F557</f>
        <v>46071</v>
      </c>
      <c r="K556" s="134">
        <f>=J556</f>
        <v>46071</v>
      </c>
      <c r="L556" s="492">
        <f>=J556-I556</f>
        <v>27</v>
      </c>
      <c r="M556" s="406">
        <v>46057</v>
      </c>
      <c r="N556" s="467">
        <f>=M556-I556</f>
        <v>13</v>
      </c>
      <c r="O556" s="127">
        <f>=IF(M556="",TODAY()-J556,M556-J556)</f>
        <v>-14</v>
      </c>
      <c r="P556" s="131" t="s">
        <f>=IF(O556&gt;0,"逾期","正常")</f>
        <v>32</v>
      </c>
      <c r="Q556" s="623" t="s"/>
      <c r="R556" s="624" t="s"/>
    </row>
    <row r="557" spans="1:18" s="57" customFormat="1">
      <c r="A557" s="617" t="s"/>
      <c r="B557" s="618" t="s"/>
      <c r="C557" s="619" t="s"/>
      <c r="D557" s="621" t="s">
        <v>28</v>
      </c>
      <c r="E557" s="621" t="s">
        <v>29</v>
      </c>
      <c r="F557" s="601">
        <v>46071</v>
      </c>
      <c r="G557" s="625" t="s">
        <v>30</v>
      </c>
      <c r="H557" s="672" t="s">
        <v>31</v>
      </c>
      <c r="I557" s="601">
        <f>=M556</f>
        <v>46057</v>
      </c>
      <c r="J557" s="601">
        <f>=I557+L557</f>
        <v>46064</v>
      </c>
      <c r="K557" s="601">
        <f>=J557</f>
        <v>46064</v>
      </c>
      <c r="L557" s="625">
        <v>7</v>
      </c>
      <c r="M557" s="601">
        <v>46080</v>
      </c>
      <c r="N557" s="467">
        <f>=M557-I557</f>
        <v>23</v>
      </c>
      <c r="O557" s="127">
        <f>=IF(M557="",TODAY()-J557,M557-J557)</f>
        <v>16</v>
      </c>
      <c r="P557" s="131" t="s">
        <f>=IF(O557&gt;0,"逾期","正常")</f>
        <v>21</v>
      </c>
      <c r="Q557" s="623" t="s">
        <v>470</v>
      </c>
      <c r="R557" s="624" t="s"/>
    </row>
    <row r="558" spans="1:18" s="57" customFormat="1">
      <c r="A558" s="617" t="s"/>
      <c r="B558" s="618" t="s"/>
      <c r="C558" s="619" t="s"/>
      <c r="D558" s="626" t="s">
        <v>46</v>
      </c>
      <c r="E558" s="621" t="s">
        <v>34</v>
      </c>
      <c r="F558" s="627">
        <f>=IF(M556="",TODAY()-F555,M556-F555)</f>
        <v>21</v>
      </c>
      <c r="G558" s="625" t="s">
        <v>35</v>
      </c>
      <c r="H558" s="672" t="s">
        <v>91</v>
      </c>
      <c r="I558" s="601">
        <f>=M557</f>
        <v>46080</v>
      </c>
      <c r="J558" s="601">
        <f>=I558+L558</f>
        <v>46087</v>
      </c>
      <c r="K558" s="601">
        <f>=J558</f>
        <v>46087</v>
      </c>
      <c r="L558" s="625">
        <v>7</v>
      </c>
      <c r="M558" s="601">
        <v>46095</v>
      </c>
      <c r="N558" s="575">
        <f>=M558-I558</f>
        <v>15</v>
      </c>
      <c r="O558" s="127">
        <f>=IF(M558="",TODAY()-J558,M558-J558)</f>
        <v>8</v>
      </c>
      <c r="P558" s="131" t="s">
        <f>=IF(O558&gt;0,"逾期","正常")</f>
        <v>21</v>
      </c>
      <c r="Q558" s="623" t="s">
        <v>485</v>
      </c>
      <c r="R558" s="624" t="s"/>
    </row>
    <row r="559" spans="1:18" s="57" customFormat="1">
      <c r="A559" s="631" t="s"/>
      <c r="B559" s="632" t="s"/>
      <c r="C559" s="633" t="s"/>
      <c r="D559" s="634" t="s">
        <v>36</v>
      </c>
      <c r="E559" s="634" t="s">
        <v>37</v>
      </c>
      <c r="F559" s="557">
        <v>0.9</v>
      </c>
      <c r="G559" s="666" t="s">
        <v>38</v>
      </c>
      <c r="H559" s="673" t="s">
        <f>=D556</f>
        <v>42</v>
      </c>
      <c r="I559" s="668">
        <f>=M558</f>
        <v>46095</v>
      </c>
      <c r="J559" s="668">
        <f>=I559+L559</f>
        <v>46185</v>
      </c>
      <c r="K559" s="668">
        <f>=J559</f>
        <v>46185</v>
      </c>
      <c r="L559" s="669">
        <v>90</v>
      </c>
      <c r="M559" s="668" t="s"/>
      <c r="N559" s="639" t="s"/>
      <c r="O559" s="127">
        <f>=IF(M559="",TODAY()-J559,M559-J559)</f>
        <v>-43</v>
      </c>
      <c r="P559" s="433" t="s">
        <f>=IF(O559&gt;0,"逾期","正常")</f>
        <v>32</v>
      </c>
      <c r="Q559" s="640" t="s"/>
      <c r="R559" s="641" t="s"/>
    </row>
    <row r="560" spans="1:18" s="57" customFormat="1">
      <c r="A560" s="510" t="s">
        <v>486</v>
      </c>
      <c r="B560" s="374" t="s">
        <v>32</v>
      </c>
      <c r="C560" s="375" t="s">
        <v>487</v>
      </c>
      <c r="D560" s="746" t="s">
        <v>17</v>
      </c>
      <c r="E560" s="746" t="s">
        <v>18</v>
      </c>
      <c r="F560" s="465">
        <v>46042</v>
      </c>
      <c r="G560" s="692" t="s">
        <v>19</v>
      </c>
      <c r="H560" s="693" t="s">
        <v>41</v>
      </c>
      <c r="I560" s="694">
        <f>=F560</f>
        <v>46042</v>
      </c>
      <c r="J560" s="694">
        <v>46077</v>
      </c>
      <c r="K560" s="694">
        <v>46067</v>
      </c>
      <c r="L560" s="695">
        <f>=J560-I560</f>
        <v>35</v>
      </c>
      <c r="M560" s="696">
        <v>46081</v>
      </c>
      <c r="N560" s="467">
        <f>=M560-I560</f>
        <v>39</v>
      </c>
      <c r="O560" s="698">
        <f>=IF(M560="",TODAY()-J560,M560-J560)</f>
        <v>4</v>
      </c>
      <c r="P560" s="131" t="s">
        <f>=IF(O560&gt;0,"逾期","正常")</f>
        <v>21</v>
      </c>
      <c r="Q560" s="585" t="s">
        <v>488</v>
      </c>
      <c r="R560" s="574" t="s"/>
    </row>
    <row r="561" spans="1:18" s="57" customFormat="1">
      <c r="A561" s="373" t="s"/>
      <c r="B561" s="516" t="s"/>
      <c r="C561" s="375" t="s"/>
      <c r="D561" s="747" t="s"/>
      <c r="E561" s="747" t="s"/>
      <c r="F561" s="748" t="s"/>
      <c r="G561" s="421" t="s">
        <v>19</v>
      </c>
      <c r="H561" s="701" t="s">
        <v>63</v>
      </c>
      <c r="I561" s="421">
        <f>=F560</f>
        <v>46042</v>
      </c>
      <c r="J561" s="134">
        <v>46077</v>
      </c>
      <c r="K561" s="134">
        <v>46067</v>
      </c>
      <c r="L561" s="421">
        <f>=J561-I561</f>
        <v>35</v>
      </c>
      <c r="M561" s="702">
        <v>46053</v>
      </c>
      <c r="N561" s="467">
        <f>=M561-I561</f>
        <v>11</v>
      </c>
      <c r="O561" s="749">
        <f>=IF(M561="",TODAY()-J561,M561-J561)</f>
        <v>-24</v>
      </c>
      <c r="P561" s="131" t="s">
        <f>=IF(O561&gt;0,"逾期","正常")</f>
        <v>32</v>
      </c>
      <c r="Q561" s="750" t="s">
        <v>489</v>
      </c>
      <c r="R561" s="705" t="s"/>
    </row>
    <row r="562" spans="1:18" s="57" customFormat="1">
      <c r="A562" s="510" t="s"/>
      <c r="B562" s="516" t="s"/>
      <c r="C562" s="375" t="s"/>
      <c r="D562" s="751" t="s">
        <v>72</v>
      </c>
      <c r="E562" s="752" t="s">
        <v>23</v>
      </c>
      <c r="F562" s="753">
        <f>=F564-F560</f>
        <v>77</v>
      </c>
      <c r="G562" s="479" t="s">
        <v>24</v>
      </c>
      <c r="H562" s="671" t="s">
        <v>50</v>
      </c>
      <c r="I562" s="134">
        <f>=M560</f>
        <v>46081</v>
      </c>
      <c r="J562" s="134">
        <f>=F564</f>
        <v>46119</v>
      </c>
      <c r="K562" s="134">
        <f>=J562</f>
        <v>46119</v>
      </c>
      <c r="L562" s="422">
        <f>=J562-I562</f>
        <v>38</v>
      </c>
      <c r="M562" s="406">
        <v>46107</v>
      </c>
      <c r="N562" s="575">
        <f>=M562-I562</f>
        <v>26</v>
      </c>
      <c r="O562" s="749">
        <f>=IF(M562="",TODAY()-J562,M562-J562)</f>
        <v>-12</v>
      </c>
      <c r="P562" s="131" t="s">
        <f>=IF(O562&gt;0,"逾期","正常")</f>
        <v>32</v>
      </c>
      <c r="Q562" s="576" t="s">
        <v>490</v>
      </c>
      <c r="R562" s="754" t="s"/>
    </row>
    <row r="563" spans="1:18" s="57" customFormat="1">
      <c r="A563" s="551" t="s"/>
      <c r="B563" s="386" t="s"/>
      <c r="C563" s="553" t="s"/>
      <c r="D563" s="541" t="s"/>
      <c r="E563" s="541" t="s"/>
      <c r="F563" s="541" t="s"/>
      <c r="G563" s="479" t="s">
        <v>24</v>
      </c>
      <c r="H563" s="671" t="s">
        <v>25</v>
      </c>
      <c r="I563" s="134">
        <f>=M561</f>
        <v>46053</v>
      </c>
      <c r="J563" s="134">
        <f>=F564</f>
        <v>46119</v>
      </c>
      <c r="K563" s="134">
        <f>=J563</f>
        <v>46119</v>
      </c>
      <c r="L563" s="492">
        <f>=J563-I563</f>
        <v>66</v>
      </c>
      <c r="M563" s="406">
        <v>46107</v>
      </c>
      <c r="N563" s="467">
        <f>=M563-I563</f>
        <v>54</v>
      </c>
      <c r="O563" s="749">
        <f>=IF(M563="",TODAY()-J563,M563-J563)</f>
        <v>-12</v>
      </c>
      <c r="P563" s="131" t="s">
        <f>=IF(O563&gt;0,"逾期","正常")</f>
        <v>32</v>
      </c>
      <c r="R563" s="577" t="s"/>
    </row>
    <row r="564" spans="1:18" s="57" customFormat="1">
      <c r="A564" s="551" t="s"/>
      <c r="B564" s="386" t="s"/>
      <c r="C564" s="553" t="s"/>
      <c r="D564" s="528" t="s">
        <v>28</v>
      </c>
      <c r="E564" s="528" t="s">
        <v>29</v>
      </c>
      <c r="F564" s="398">
        <v>46119</v>
      </c>
      <c r="G564" s="421" t="s">
        <v>30</v>
      </c>
      <c r="H564" s="755" t="s">
        <v>31</v>
      </c>
      <c r="I564" s="404">
        <f>=M562</f>
        <v>46107</v>
      </c>
      <c r="J564" s="404">
        <f>=I564+L564</f>
        <v>46114</v>
      </c>
      <c r="K564" s="404">
        <f>=J564</f>
        <v>46114</v>
      </c>
      <c r="L564" s="625">
        <v>7</v>
      </c>
      <c r="M564" s="406">
        <v>46115</v>
      </c>
      <c r="N564" s="467">
        <f>=M564-I564</f>
        <v>8</v>
      </c>
      <c r="O564" s="749">
        <f>=IF(M564="",TODAY()-J564,M564-J564)</f>
        <v>1</v>
      </c>
      <c r="P564" s="131" t="s">
        <f>=IF(O564&gt;0,"逾期","正常")</f>
        <v>21</v>
      </c>
      <c r="Q564" s="576" t="s"/>
      <c r="R564" s="577" t="s"/>
    </row>
    <row r="565" spans="1:18" s="57" customFormat="1">
      <c r="A565" s="551" t="s"/>
      <c r="B565" s="386" t="s"/>
      <c r="C565" s="553" t="s"/>
      <c r="D565" s="528" t="s">
        <v>51</v>
      </c>
      <c r="E565" s="528" t="s">
        <v>34</v>
      </c>
      <c r="F565" s="627">
        <f>=IF(M563="",TODAY()-F560,M563-F560)</f>
        <v>65</v>
      </c>
      <c r="G565" s="435" t="s">
        <v>35</v>
      </c>
      <c r="H565" s="756" t="s">
        <v>402</v>
      </c>
      <c r="I565" s="426">
        <f>=M564</f>
        <v>46115</v>
      </c>
      <c r="J565" s="426">
        <f>=I565+L565</f>
        <v>46122</v>
      </c>
      <c r="K565" s="426">
        <f>=J565</f>
        <v>46122</v>
      </c>
      <c r="L565" s="657">
        <v>7</v>
      </c>
      <c r="M565" s="428" t="s"/>
      <c r="N565" s="467" t="s"/>
      <c r="O565" s="749">
        <f>=IF(M565="",TODAY()-J565,M565-J565)</f>
        <v>28</v>
      </c>
      <c r="P565" s="131" t="s">
        <f>=IF(O565&gt;0,"逾期","正常")</f>
        <v>21</v>
      </c>
      <c r="Q565" s="576" t="s">
        <v>491</v>
      </c>
      <c r="R565" s="577" t="s"/>
    </row>
    <row r="566" spans="1:18">
      <c r="A566" s="385" t="s"/>
      <c r="B566" s="408" t="s"/>
      <c r="C566" s="409" t="s"/>
      <c r="D566" s="712" t="s">
        <v>36</v>
      </c>
      <c r="E566" s="712" t="s">
        <v>37</v>
      </c>
      <c r="F566" s="557">
        <v>0.9</v>
      </c>
      <c r="G566" s="442" t="s">
        <v>38</v>
      </c>
      <c r="H566" s="677" t="s">
        <f>=D562</f>
        <v>72</v>
      </c>
      <c r="I566" s="443" t="s"/>
      <c r="J566" s="443" t="s"/>
      <c r="K566" s="443" t="s"/>
      <c r="L566" s="638">
        <v>90</v>
      </c>
      <c r="M566" s="445" t="s"/>
      <c r="N566" s="446" t="s"/>
      <c r="O566" s="127" t="s"/>
      <c r="P566" s="532" t="s">
        <f>=IF(O566&gt;0,"逾期","正常")</f>
        <v>32</v>
      </c>
      <c r="Q566" s="582" t="s"/>
      <c r="R566" s="583" t="s"/>
    </row>
    <row r="567" spans="1:18" s="57" customFormat="1">
      <c r="A567" s="606" t="s">
        <v>492</v>
      </c>
      <c r="B567" s="607" t="s">
        <v>32</v>
      </c>
      <c r="C567" s="608" t="s">
        <v>493</v>
      </c>
      <c r="D567" s="609" t="s">
        <v>17</v>
      </c>
      <c r="E567" s="609" t="s">
        <v>18</v>
      </c>
      <c r="F567" s="599">
        <v>46052</v>
      </c>
      <c r="G567" s="610" t="s">
        <v>19</v>
      </c>
      <c r="H567" s="670" t="s">
        <v>49</v>
      </c>
      <c r="I567" s="612">
        <f>=F567</f>
        <v>46052</v>
      </c>
      <c r="J567" s="599">
        <v>46082</v>
      </c>
      <c r="K567" s="599">
        <v>46077</v>
      </c>
      <c r="L567" s="613">
        <f>=J567-I567</f>
        <v>30</v>
      </c>
      <c r="M567" s="599">
        <v>46057</v>
      </c>
      <c r="N567" s="598">
        <f>=M567-I567</f>
        <v>5</v>
      </c>
      <c r="O567" s="655">
        <f>=IF(M567="",TODAY()-J567,M567-J567)</f>
        <v>-25</v>
      </c>
      <c r="P567" s="131" t="s">
        <f>=IF(O567&gt;0,"逾期","正常")</f>
        <v>32</v>
      </c>
      <c r="Q567" s="615" t="s"/>
      <c r="R567" s="616" t="s"/>
    </row>
    <row r="568" spans="1:18" s="57" customFormat="1">
      <c r="A568" s="617" t="s"/>
      <c r="B568" s="618" t="s"/>
      <c r="C568" s="619" t="s"/>
      <c r="D568" s="620" t="s">
        <v>65</v>
      </c>
      <c r="E568" s="621" t="s">
        <v>23</v>
      </c>
      <c r="F568" s="622">
        <f>=F569-F567</f>
        <v>61</v>
      </c>
      <c r="G568" s="479" t="s">
        <v>24</v>
      </c>
      <c r="H568" s="671" t="s">
        <v>50</v>
      </c>
      <c r="I568" s="134">
        <f>=M567</f>
        <v>46057</v>
      </c>
      <c r="J568" s="134">
        <f>=F569</f>
        <v>46113</v>
      </c>
      <c r="K568" s="134">
        <f>=J568</f>
        <v>46113</v>
      </c>
      <c r="L568" s="492">
        <f>=J568-I568</f>
        <v>56</v>
      </c>
      <c r="M568" s="406">
        <v>46108</v>
      </c>
      <c r="N568" s="467">
        <f>=M568-I568</f>
        <v>51</v>
      </c>
      <c r="O568" s="127">
        <f>=IF(M568="",TODAY()-J568,M568-J568)</f>
        <v>-5</v>
      </c>
      <c r="P568" s="131" t="s">
        <f>=IF(O568&gt;0,"逾期","正常")</f>
        <v>32</v>
      </c>
      <c r="Q568" s="623" t="s">
        <v>494</v>
      </c>
      <c r="R568" s="624" t="s"/>
    </row>
    <row r="569" spans="1:18" s="57" customFormat="1">
      <c r="A569" s="617" t="s"/>
      <c r="B569" s="618" t="s"/>
      <c r="C569" s="619" t="s"/>
      <c r="D569" s="621" t="s">
        <v>28</v>
      </c>
      <c r="E569" s="621" t="s">
        <v>29</v>
      </c>
      <c r="F569" s="601">
        <v>46113</v>
      </c>
      <c r="G569" s="630" t="s">
        <v>30</v>
      </c>
      <c r="H569" s="675" t="s">
        <v>31</v>
      </c>
      <c r="I569" s="651">
        <f>=M568</f>
        <v>46108</v>
      </c>
      <c r="J569" s="651">
        <f>=I569+L569</f>
        <v>46115</v>
      </c>
      <c r="K569" s="651">
        <f>=J569</f>
        <v>46115</v>
      </c>
      <c r="L569" s="625">
        <v>7</v>
      </c>
      <c r="M569" s="651">
        <v>46109</v>
      </c>
      <c r="N569" s="467">
        <f>=M569-I569</f>
        <v>1</v>
      </c>
      <c r="O569" s="127">
        <f>=IF(M569="",TODAY()-J569,M569-J569)</f>
        <v>-6</v>
      </c>
      <c r="P569" s="131" t="s">
        <f>=IF(O569&gt;0,"逾期","正常")</f>
        <v>32</v>
      </c>
      <c r="Q569" s="623" t="s"/>
      <c r="R569" s="624" t="s"/>
    </row>
    <row r="570" spans="1:18" s="57" customFormat="1">
      <c r="A570" s="617" t="s"/>
      <c r="B570" s="618" t="s"/>
      <c r="C570" s="619" t="s"/>
      <c r="D570" s="528" t="s">
        <v>51</v>
      </c>
      <c r="E570" s="621" t="s">
        <v>34</v>
      </c>
      <c r="F570" s="627">
        <f>=IF(M568="",TODAY()-F567,M568-F567)</f>
        <v>56</v>
      </c>
      <c r="G570" s="657" t="s">
        <v>35</v>
      </c>
      <c r="H570" s="676" t="s">
        <v>224</v>
      </c>
      <c r="I570" s="603">
        <f>=M569</f>
        <v>46109</v>
      </c>
      <c r="J570" s="603">
        <f>=I570+L570</f>
        <v>46121</v>
      </c>
      <c r="K570" s="603">
        <f>=J570</f>
        <v>46121</v>
      </c>
      <c r="L570" s="657">
        <v>12</v>
      </c>
      <c r="M570" s="603" t="s"/>
      <c r="N570" s="630" t="s"/>
      <c r="O570" s="127">
        <f>=IF(M570="",TODAY()-J570,M570-J570)</f>
        <v>21</v>
      </c>
      <c r="P570" s="131" t="s">
        <f>=IF(O570&gt;0,"逾期","正常")</f>
        <v>21</v>
      </c>
      <c r="Q570" s="623" t="s">
        <v>495</v>
      </c>
      <c r="R570" s="624" t="s"/>
    </row>
    <row r="571" spans="1:18" s="57" customFormat="1">
      <c r="A571" s="631" t="s"/>
      <c r="B571" s="632" t="s"/>
      <c r="C571" s="633" t="s"/>
      <c r="D571" s="634" t="s">
        <v>36</v>
      </c>
      <c r="E571" s="634" t="s">
        <v>37</v>
      </c>
      <c r="F571" s="557">
        <v>0.9</v>
      </c>
      <c r="G571" s="636" t="s">
        <v>38</v>
      </c>
      <c r="H571" s="677" t="s">
        <f>=D568</f>
        <v>65</v>
      </c>
      <c r="I571" s="604" t="s"/>
      <c r="J571" s="604" t="s"/>
      <c r="K571" s="604" t="s"/>
      <c r="L571" s="638">
        <v>90</v>
      </c>
      <c r="M571" s="604" t="s"/>
      <c r="N571" s="639" t="s"/>
      <c r="O571" s="638" t="s"/>
      <c r="P571" s="433" t="s">
        <f>=IF(O571&gt;0,"逾期","正常")</f>
        <v>32</v>
      </c>
      <c r="Q571" s="640" t="s"/>
      <c r="R571" s="641" t="s"/>
    </row>
    <row r="572" spans="1:18" s="57" customFormat="1">
      <c r="A572" s="606" t="s">
        <v>496</v>
      </c>
      <c r="B572" s="607" t="s">
        <v>32</v>
      </c>
      <c r="C572" s="608" t="s">
        <v>108</v>
      </c>
      <c r="D572" s="609" t="s">
        <v>17</v>
      </c>
      <c r="E572" s="609" t="s">
        <v>18</v>
      </c>
      <c r="F572" s="599">
        <v>46052</v>
      </c>
      <c r="G572" s="610" t="s">
        <v>19</v>
      </c>
      <c r="H572" s="670" t="s">
        <v>309</v>
      </c>
      <c r="I572" s="612">
        <f>=F572</f>
        <v>46052</v>
      </c>
      <c r="J572" s="599">
        <v>46058</v>
      </c>
      <c r="K572" s="599">
        <v>46057</v>
      </c>
      <c r="L572" s="613">
        <f>=J572-I572</f>
        <v>6</v>
      </c>
      <c r="M572" s="599">
        <v>46057</v>
      </c>
      <c r="N572" s="598">
        <f>=M572-I572</f>
        <v>5</v>
      </c>
      <c r="O572" s="655">
        <f>=IF(M572="",TODAY()-J572,M572-J572)</f>
        <v>-1</v>
      </c>
      <c r="P572" s="131" t="s">
        <f>=IF(O572&gt;0,"逾期","正常")</f>
        <v>32</v>
      </c>
      <c r="Q572" s="615" t="s"/>
      <c r="R572" s="616" t="s"/>
    </row>
    <row r="573" spans="1:18" s="57" customFormat="1">
      <c r="A573" s="617" t="s"/>
      <c r="B573" s="618" t="s"/>
      <c r="C573" s="619" t="s"/>
      <c r="D573" s="620" t="s">
        <v>72</v>
      </c>
      <c r="E573" s="621" t="s">
        <v>23</v>
      </c>
      <c r="F573" s="622">
        <f>=F574-F572</f>
        <v>17</v>
      </c>
      <c r="G573" s="479" t="s">
        <v>24</v>
      </c>
      <c r="H573" s="671" t="s">
        <v>50</v>
      </c>
      <c r="I573" s="134">
        <f>=M572</f>
        <v>46057</v>
      </c>
      <c r="J573" s="134">
        <f>=F574</f>
        <v>46069</v>
      </c>
      <c r="K573" s="134">
        <f>=J573</f>
        <v>46069</v>
      </c>
      <c r="L573" s="492">
        <f>=J573-I573</f>
        <v>12</v>
      </c>
      <c r="M573" s="406">
        <v>46092</v>
      </c>
      <c r="N573" s="467">
        <f>=M573-I573</f>
        <v>35</v>
      </c>
      <c r="O573" s="127">
        <f>=IF(M573="",TODAY()-J573,M573-J573)</f>
        <v>23</v>
      </c>
      <c r="P573" s="131" t="s">
        <f>=IF(O573&gt;0,"逾期","正常")</f>
        <v>21</v>
      </c>
      <c r="Q573" s="623" t="s">
        <v>497</v>
      </c>
      <c r="R573" s="624" t="s"/>
    </row>
    <row r="574" spans="1:18" s="57" customFormat="1">
      <c r="A574" s="617" t="s"/>
      <c r="B574" s="618" t="s"/>
      <c r="C574" s="619" t="s"/>
      <c r="D574" s="621" t="s">
        <v>28</v>
      </c>
      <c r="E574" s="621" t="s">
        <v>29</v>
      </c>
      <c r="F574" s="601">
        <v>46069</v>
      </c>
      <c r="G574" s="625" t="s">
        <v>30</v>
      </c>
      <c r="H574" s="672" t="s">
        <v>31</v>
      </c>
      <c r="I574" s="601">
        <f>=M573</f>
        <v>46092</v>
      </c>
      <c r="J574" s="601">
        <f>=I574+L574</f>
        <v>46099</v>
      </c>
      <c r="K574" s="601">
        <f>=J574</f>
        <v>46099</v>
      </c>
      <c r="L574" s="625">
        <v>7</v>
      </c>
      <c r="M574" s="601">
        <v>46099</v>
      </c>
      <c r="N574" s="467">
        <f>=M574-I574</f>
        <v>7</v>
      </c>
      <c r="O574" s="127">
        <f>=IF(M574="",TODAY()-J574,M574-J574)</f>
        <v>0</v>
      </c>
      <c r="P574" s="131" t="s">
        <f>=IF(O574&gt;0,"逾期","正常")</f>
        <v>32</v>
      </c>
      <c r="Q574" s="623" t="s"/>
      <c r="R574" s="624" t="s"/>
    </row>
    <row r="575" spans="1:18" s="57" customFormat="1">
      <c r="A575" s="617" t="s"/>
      <c r="B575" s="618" t="s"/>
      <c r="C575" s="619" t="s"/>
      <c r="D575" s="757" t="s">
        <v>46</v>
      </c>
      <c r="E575" s="621" t="s">
        <v>34</v>
      </c>
      <c r="F575" s="627">
        <f>=IF(M573="",TODAY()-F572,M573-F572)</f>
        <v>40</v>
      </c>
      <c r="G575" s="625" t="s">
        <v>35</v>
      </c>
      <c r="H575" s="758" t="s">
        <v>203</v>
      </c>
      <c r="I575" s="601">
        <f>=M574</f>
        <v>46099</v>
      </c>
      <c r="J575" s="601">
        <f>=I575+L575</f>
        <v>46109</v>
      </c>
      <c r="K575" s="601">
        <f>=J575</f>
        <v>46109</v>
      </c>
      <c r="L575" s="625">
        <v>10</v>
      </c>
      <c r="M575" s="601">
        <v>46109</v>
      </c>
      <c r="N575" s="467">
        <f>=M575-I575</f>
        <v>10</v>
      </c>
      <c r="O575" s="127">
        <f>=IF(M575="",TODAY()-J575,M575-J575)</f>
        <v>0</v>
      </c>
      <c r="P575" s="131" t="s">
        <f>=IF(O575&gt;0,"逾期","正常")</f>
        <v>32</v>
      </c>
      <c r="Q575" s="623" t="s">
        <v>498</v>
      </c>
      <c r="R575" s="624" t="s"/>
    </row>
    <row r="576" spans="1:18" s="57" customFormat="1">
      <c r="A576" s="631" t="s"/>
      <c r="B576" s="632" t="s"/>
      <c r="C576" s="633" t="s"/>
      <c r="D576" s="634" t="s">
        <v>36</v>
      </c>
      <c r="E576" s="634" t="s">
        <v>37</v>
      </c>
      <c r="F576" s="557">
        <v>0.9</v>
      </c>
      <c r="G576" s="666" t="s">
        <v>38</v>
      </c>
      <c r="H576" s="673" t="s">
        <f>=D573</f>
        <v>72</v>
      </c>
      <c r="I576" s="668">
        <f>=M575</f>
        <v>46109</v>
      </c>
      <c r="J576" s="668">
        <f>=I576+L576</f>
        <v>46199</v>
      </c>
      <c r="K576" s="668">
        <f>=J576</f>
        <v>46199</v>
      </c>
      <c r="L576" s="669">
        <v>90</v>
      </c>
      <c r="M576" s="668" t="s"/>
      <c r="N576" s="639" t="s"/>
      <c r="O576" s="127">
        <f>=IF(M576="",TODAY()-J576,M576-J576)</f>
        <v>-57</v>
      </c>
      <c r="P576" s="433" t="s">
        <f>=IF(O576&gt;0,"逾期","正常")</f>
        <v>32</v>
      </c>
      <c r="Q576" s="640" t="s"/>
      <c r="R576" s="641" t="s"/>
    </row>
    <row r="577" spans="1:18" s="57" customFormat="1">
      <c r="A577" s="606" t="s">
        <v>499</v>
      </c>
      <c r="B577" s="607" t="s">
        <v>32</v>
      </c>
      <c r="C577" s="608" t="s">
        <v>500</v>
      </c>
      <c r="D577" s="609" t="s">
        <v>17</v>
      </c>
      <c r="E577" s="609" t="s">
        <v>18</v>
      </c>
      <c r="F577" s="599">
        <v>46055</v>
      </c>
      <c r="G577" s="610" t="s">
        <v>19</v>
      </c>
      <c r="H577" s="670" t="s">
        <v>20</v>
      </c>
      <c r="I577" s="612">
        <f>=F577</f>
        <v>46055</v>
      </c>
      <c r="J577" s="599">
        <v>46080</v>
      </c>
      <c r="K577" s="599">
        <v>46079</v>
      </c>
      <c r="L577" s="613">
        <f>=J577-I577</f>
        <v>25</v>
      </c>
      <c r="M577" s="599">
        <v>46086</v>
      </c>
      <c r="N577" s="598">
        <f>=M577-I577</f>
        <v>31</v>
      </c>
      <c r="O577" s="655">
        <f>=IF(M577="",TODAY()-J577,M577-J577)</f>
        <v>6</v>
      </c>
      <c r="P577" s="131" t="s">
        <f>=IF(O577&gt;0,"逾期","正常")</f>
        <v>21</v>
      </c>
      <c r="Q577" s="615" t="s">
        <v>501</v>
      </c>
      <c r="R577" s="616" t="s"/>
    </row>
    <row r="578" spans="1:18" s="57" customFormat="1">
      <c r="A578" s="617" t="s"/>
      <c r="B578" s="618" t="s"/>
      <c r="C578" s="619" t="s"/>
      <c r="D578" s="620" t="s">
        <v>57</v>
      </c>
      <c r="E578" s="621" t="s">
        <v>23</v>
      </c>
      <c r="F578" s="622">
        <f>=F579-F577</f>
        <v>42</v>
      </c>
      <c r="G578" s="479" t="s">
        <v>24</v>
      </c>
      <c r="H578" s="671" t="s">
        <v>50</v>
      </c>
      <c r="I578" s="134">
        <f>=M577</f>
        <v>46086</v>
      </c>
      <c r="J578" s="134">
        <f>=F579</f>
        <v>46097</v>
      </c>
      <c r="K578" s="134">
        <f>=J578</f>
        <v>46097</v>
      </c>
      <c r="L578" s="492">
        <f>=J578-I578</f>
        <v>11</v>
      </c>
      <c r="M578" s="406">
        <v>46097</v>
      </c>
      <c r="N578" s="467">
        <f>=M578-I578</f>
        <v>11</v>
      </c>
      <c r="O578" s="127">
        <f>=IF(M578="",TODAY()-J578,M578-J578)</f>
        <v>0</v>
      </c>
      <c r="P578" s="131" t="s">
        <f>=IF(O578&gt;0,"逾期","正常")</f>
        <v>32</v>
      </c>
      <c r="Q578" s="623" t="s">
        <v>494</v>
      </c>
      <c r="R578" s="624" t="s"/>
    </row>
    <row r="579" spans="1:18" s="57" customFormat="1">
      <c r="A579" s="617" t="s"/>
      <c r="B579" s="618" t="s"/>
      <c r="C579" s="619" t="s"/>
      <c r="D579" s="621" t="s">
        <v>28</v>
      </c>
      <c r="E579" s="621" t="s">
        <v>29</v>
      </c>
      <c r="F579" s="601">
        <v>46097</v>
      </c>
      <c r="G579" s="630" t="s">
        <v>30</v>
      </c>
      <c r="H579" s="675" t="s">
        <v>31</v>
      </c>
      <c r="I579" s="651">
        <f>=M578</f>
        <v>46097</v>
      </c>
      <c r="J579" s="651">
        <f>=I579+L579</f>
        <v>46104</v>
      </c>
      <c r="K579" s="651">
        <f>=J579</f>
        <v>46104</v>
      </c>
      <c r="L579" s="625">
        <v>7</v>
      </c>
      <c r="M579" s="651">
        <v>46097</v>
      </c>
      <c r="N579" s="467">
        <f>=M579-I579</f>
        <v>0</v>
      </c>
      <c r="O579" s="127">
        <f>=IF(M579="",TODAY()-J579,M579-J579)</f>
        <v>-7</v>
      </c>
      <c r="P579" s="131" t="s">
        <f>=IF(O579&gt;0,"逾期","正常")</f>
        <v>32</v>
      </c>
      <c r="Q579" s="623" t="s"/>
      <c r="R579" s="624" t="s"/>
    </row>
    <row r="580" spans="1:18" s="57" customFormat="1">
      <c r="A580" s="617" t="s"/>
      <c r="B580" s="618" t="s"/>
      <c r="C580" s="619" t="s"/>
      <c r="D580" s="757" t="s">
        <v>33</v>
      </c>
      <c r="E580" s="621" t="s">
        <v>34</v>
      </c>
      <c r="F580" s="627">
        <f>=IF(M578="",TODAY()-F577,M578-F577)</f>
        <v>42</v>
      </c>
      <c r="G580" s="759" t="s">
        <v>35</v>
      </c>
      <c r="H580" s="760" t="s">
        <v>104</v>
      </c>
      <c r="I580" s="761">
        <f>=M579</f>
        <v>46097</v>
      </c>
      <c r="J580" s="761">
        <f>=I580+L580</f>
        <v>46127</v>
      </c>
      <c r="K580" s="761">
        <f>=J580</f>
        <v>46127</v>
      </c>
      <c r="L580" s="759">
        <v>30</v>
      </c>
      <c r="M580" s="761" t="s"/>
      <c r="N580" s="630" t="s"/>
      <c r="O580" s="127">
        <f>=IF(M580="",TODAY()-J580,M580-J580)</f>
        <v>15</v>
      </c>
      <c r="P580" s="131" t="s">
        <f>=IF(O580&gt;0,"逾期","正常")</f>
        <v>21</v>
      </c>
      <c r="Q580" s="623" t="s">
        <v>502</v>
      </c>
      <c r="R580" s="624" t="s"/>
    </row>
    <row r="581" spans="1:18" s="57" customFormat="1">
      <c r="A581" s="631" t="s"/>
      <c r="B581" s="632" t="s"/>
      <c r="C581" s="633" t="s"/>
      <c r="D581" s="634" t="s">
        <v>36</v>
      </c>
      <c r="E581" s="634" t="s">
        <v>37</v>
      </c>
      <c r="F581" s="557">
        <v>0.9</v>
      </c>
      <c r="G581" s="636" t="s">
        <v>38</v>
      </c>
      <c r="H581" s="677" t="s">
        <f>=D578</f>
        <v>57</v>
      </c>
      <c r="I581" s="604" t="s"/>
      <c r="J581" s="604" t="s"/>
      <c r="K581" s="604" t="s"/>
      <c r="L581" s="638">
        <v>90</v>
      </c>
      <c r="M581" s="604" t="s"/>
      <c r="N581" s="639" t="s"/>
      <c r="O581" s="638" t="s"/>
      <c r="P581" s="433" t="s">
        <f>=IF(O581&gt;0,"逾期","正常")</f>
        <v>32</v>
      </c>
      <c r="Q581" s="640" t="s"/>
      <c r="R581" s="641" t="s"/>
    </row>
    <row r="582" spans="1:18" s="57" customFormat="1">
      <c r="A582" s="606" t="s">
        <v>503</v>
      </c>
      <c r="B582" s="607" t="s">
        <v>32</v>
      </c>
      <c r="C582" s="608" t="s">
        <v>132</v>
      </c>
      <c r="D582" s="609" t="s">
        <v>17</v>
      </c>
      <c r="E582" s="609" t="s">
        <v>18</v>
      </c>
      <c r="F582" s="599">
        <v>46056</v>
      </c>
      <c r="G582" s="610" t="s">
        <v>19</v>
      </c>
      <c r="H582" s="670" t="s">
        <v>41</v>
      </c>
      <c r="I582" s="612">
        <f>=F582</f>
        <v>46056</v>
      </c>
      <c r="J582" s="599">
        <v>46086</v>
      </c>
      <c r="K582" s="599">
        <v>46084</v>
      </c>
      <c r="L582" s="613">
        <f>=J582-I582</f>
        <v>30</v>
      </c>
      <c r="M582" s="599">
        <v>46093</v>
      </c>
      <c r="N582" s="598">
        <f>=M582-I582</f>
        <v>37</v>
      </c>
      <c r="O582" s="655">
        <f>=IF(M582="",TODAY()-J582,M582-J582)</f>
        <v>7</v>
      </c>
      <c r="P582" s="131" t="s">
        <f>=IF(O582&gt;0,"逾期","正常")</f>
        <v>21</v>
      </c>
      <c r="Q582" s="615" t="s">
        <v>504</v>
      </c>
      <c r="R582" s="616" t="s"/>
    </row>
    <row r="583" spans="1:18" s="57" customFormat="1">
      <c r="A583" s="617" t="s"/>
      <c r="B583" s="618" t="s"/>
      <c r="C583" s="619" t="s"/>
      <c r="D583" s="620" t="s">
        <v>65</v>
      </c>
      <c r="E583" s="621" t="s">
        <v>23</v>
      </c>
      <c r="F583" s="622">
        <f>=F584-F582</f>
        <v>60</v>
      </c>
      <c r="G583" s="479" t="s">
        <v>24</v>
      </c>
      <c r="H583" s="671" t="s">
        <v>25</v>
      </c>
      <c r="I583" s="134">
        <f>=M582</f>
        <v>46093</v>
      </c>
      <c r="J583" s="134">
        <f>=F584</f>
        <v>46116</v>
      </c>
      <c r="K583" s="134">
        <f>=J583</f>
        <v>46116</v>
      </c>
      <c r="L583" s="492">
        <f>=J583-I583</f>
        <v>23</v>
      </c>
      <c r="M583" s="406">
        <v>46135</v>
      </c>
      <c r="N583" s="467">
        <f>=M583-I583</f>
        <v>42</v>
      </c>
      <c r="O583" s="127">
        <f>=IF(M583="",TODAY()-J583,M583-J583)</f>
        <v>19</v>
      </c>
      <c r="P583" s="131" t="s">
        <f>=IF(O583&gt;0,"逾期","正常")</f>
        <v>21</v>
      </c>
      <c r="Q583" s="623" t="s">
        <v>505</v>
      </c>
      <c r="R583" s="624" t="s"/>
    </row>
    <row r="584" spans="1:18" s="57" customFormat="1">
      <c r="A584" s="617" t="s"/>
      <c r="B584" s="618" t="s"/>
      <c r="C584" s="619" t="s"/>
      <c r="D584" s="621" t="s">
        <v>28</v>
      </c>
      <c r="E584" s="621" t="s">
        <v>29</v>
      </c>
      <c r="F584" s="601">
        <v>46116</v>
      </c>
      <c r="G584" s="625" t="s">
        <v>30</v>
      </c>
      <c r="H584" s="672" t="s">
        <v>31</v>
      </c>
      <c r="I584" s="601">
        <f>=M583</f>
        <v>46135</v>
      </c>
      <c r="J584" s="601">
        <f>=I584+L584</f>
        <v>46142</v>
      </c>
      <c r="K584" s="601">
        <f>=J584</f>
        <v>46142</v>
      </c>
      <c r="L584" s="625">
        <v>7</v>
      </c>
      <c r="M584" s="601">
        <v>46146</v>
      </c>
      <c r="N584" s="467">
        <f>=M584-I584</f>
        <v>11</v>
      </c>
      <c r="O584" s="127">
        <f>=IF(M584="",TODAY()-J584,M584-J584)</f>
        <v>4</v>
      </c>
      <c r="P584" s="131" t="s">
        <f>=IF(O584&gt;0,"逾期","正常")</f>
        <v>21</v>
      </c>
      <c r="Q584" s="623" t="s">
        <v>506</v>
      </c>
      <c r="R584" s="624" t="s"/>
    </row>
    <row r="585" spans="1:18" s="57" customFormat="1">
      <c r="A585" s="617" t="s"/>
      <c r="B585" s="618" t="s"/>
      <c r="C585" s="619" t="s"/>
      <c r="D585" s="757" t="s">
        <v>33</v>
      </c>
      <c r="E585" s="621" t="s">
        <v>34</v>
      </c>
      <c r="F585" s="627">
        <f>=IF(M583="",TODAY()-F582,M583-F582)</f>
        <v>79</v>
      </c>
      <c r="G585" s="682" t="s">
        <v>35</v>
      </c>
      <c r="H585" s="683" t="s">
        <v>52</v>
      </c>
      <c r="I585" s="684">
        <f>=M584</f>
        <v>46146</v>
      </c>
      <c r="J585" s="684">
        <f>=I585+L585</f>
        <v>46156</v>
      </c>
      <c r="K585" s="684">
        <f>=J585</f>
        <v>46156</v>
      </c>
      <c r="L585" s="682">
        <v>10</v>
      </c>
      <c r="M585" s="684" t="s"/>
      <c r="N585" s="630" t="s"/>
      <c r="O585" s="127">
        <f>=IF(M585="",TODAY()-J585,M585-J585)</f>
        <v>-6</v>
      </c>
      <c r="P585" s="131" t="s">
        <f>=IF(O585&gt;0,"逾期","正常")</f>
        <v>32</v>
      </c>
      <c r="Q585" s="623" t="s"/>
      <c r="R585" s="624" t="s"/>
    </row>
    <row r="586" spans="1:18" s="57" customFormat="1">
      <c r="A586" s="631" t="s"/>
      <c r="B586" s="632" t="s"/>
      <c r="C586" s="633" t="s"/>
      <c r="D586" s="634" t="s">
        <v>36</v>
      </c>
      <c r="E586" s="634" t="s">
        <v>37</v>
      </c>
      <c r="F586" s="557">
        <v>0.9</v>
      </c>
      <c r="G586" s="636" t="s">
        <v>38</v>
      </c>
      <c r="H586" s="677" t="s">
        <f>=D583</f>
        <v>65</v>
      </c>
      <c r="I586" s="604" t="s"/>
      <c r="J586" s="604" t="s"/>
      <c r="K586" s="604" t="s"/>
      <c r="L586" s="638">
        <v>90</v>
      </c>
      <c r="M586" s="604" t="s"/>
      <c r="N586" s="639" t="s"/>
      <c r="O586" s="638" t="s"/>
      <c r="P586" s="433" t="s">
        <f>=IF(O586&gt;0,"逾期","正常")</f>
        <v>32</v>
      </c>
      <c r="Q586" s="640" t="s"/>
      <c r="R586" s="641" t="s"/>
    </row>
    <row r="587" spans="1:18" s="57" customFormat="1">
      <c r="A587" s="606" t="s">
        <v>507</v>
      </c>
      <c r="B587" s="607" t="s">
        <v>32</v>
      </c>
      <c r="C587" s="608" t="s">
        <v>48</v>
      </c>
      <c r="D587" s="609" t="s">
        <v>17</v>
      </c>
      <c r="E587" s="609" t="s">
        <v>18</v>
      </c>
      <c r="F587" s="599">
        <v>46058</v>
      </c>
      <c r="G587" s="610" t="s">
        <v>19</v>
      </c>
      <c r="H587" s="670" t="s">
        <v>49</v>
      </c>
      <c r="I587" s="612">
        <f>=F587</f>
        <v>46058</v>
      </c>
      <c r="J587" s="599">
        <v>46083</v>
      </c>
      <c r="K587" s="599">
        <v>46080</v>
      </c>
      <c r="L587" s="613">
        <f>=J587-I587</f>
        <v>25</v>
      </c>
      <c r="M587" s="599">
        <v>46083</v>
      </c>
      <c r="N587" s="598">
        <f>=M587-I587</f>
        <v>25</v>
      </c>
      <c r="O587" s="655">
        <f>=IF(M587="",TODAY()-J587,M587-J587)</f>
        <v>0</v>
      </c>
      <c r="P587" s="131" t="s">
        <f>=IF(O587&gt;0,"逾期","正常")</f>
        <v>32</v>
      </c>
      <c r="Q587" s="615" t="s">
        <v>508</v>
      </c>
      <c r="R587" s="616" t="s"/>
    </row>
    <row r="588" spans="1:18" s="57" customFormat="1">
      <c r="A588" s="617" t="s"/>
      <c r="B588" s="618" t="s"/>
      <c r="C588" s="619" t="s"/>
      <c r="D588" s="620" t="s">
        <v>57</v>
      </c>
      <c r="E588" s="621" t="s">
        <v>23</v>
      </c>
      <c r="F588" s="622">
        <f>=F589-F587</f>
        <v>42</v>
      </c>
      <c r="G588" s="479" t="s">
        <v>24</v>
      </c>
      <c r="H588" s="671" t="s">
        <v>50</v>
      </c>
      <c r="I588" s="134">
        <f>=M587</f>
        <v>46083</v>
      </c>
      <c r="J588" s="134">
        <f>=F589</f>
        <v>46100</v>
      </c>
      <c r="K588" s="134">
        <f>=J588</f>
        <v>46100</v>
      </c>
      <c r="L588" s="492">
        <f>=J588-I588</f>
        <v>17</v>
      </c>
      <c r="M588" s="406">
        <v>46090</v>
      </c>
      <c r="N588" s="467">
        <f>=M588-I588</f>
        <v>7</v>
      </c>
      <c r="O588" s="127">
        <f>=IF(M588="",TODAY()-J588,M588-J588)</f>
        <v>-10</v>
      </c>
      <c r="P588" s="131" t="s">
        <f>=IF(O588&gt;0,"逾期","正常")</f>
        <v>32</v>
      </c>
      <c r="Q588" s="623" t="s"/>
      <c r="R588" s="624" t="s"/>
    </row>
    <row r="589" spans="1:18" s="57" customFormat="1">
      <c r="A589" s="617" t="s"/>
      <c r="B589" s="618" t="s"/>
      <c r="C589" s="619" t="s"/>
      <c r="D589" s="621" t="s">
        <v>28</v>
      </c>
      <c r="E589" s="621" t="s">
        <v>29</v>
      </c>
      <c r="F589" s="601">
        <v>46100</v>
      </c>
      <c r="G589" s="625" t="s">
        <v>30</v>
      </c>
      <c r="H589" s="672" t="s">
        <v>31</v>
      </c>
      <c r="I589" s="601">
        <f>=M588</f>
        <v>46090</v>
      </c>
      <c r="J589" s="601">
        <f>=I589+L589</f>
        <v>46097</v>
      </c>
      <c r="K589" s="601">
        <f>=J589</f>
        <v>46097</v>
      </c>
      <c r="L589" s="625">
        <v>7</v>
      </c>
      <c r="M589" s="601">
        <v>46093</v>
      </c>
      <c r="N589" s="467">
        <f>=M589-I589</f>
        <v>3</v>
      </c>
      <c r="O589" s="127">
        <f>=IF(M589="",TODAY()-J589,M589-J589)</f>
        <v>-4</v>
      </c>
      <c r="P589" s="131" t="s">
        <f>=IF(O589&gt;0,"逾期","正常")</f>
        <v>32</v>
      </c>
      <c r="Q589" s="623" t="s"/>
      <c r="R589" s="624" t="s"/>
    </row>
    <row r="590" spans="1:18" s="57" customFormat="1">
      <c r="A590" s="617" t="s"/>
      <c r="B590" s="618" t="s"/>
      <c r="C590" s="619" t="s"/>
      <c r="D590" s="757" t="s">
        <v>33</v>
      </c>
      <c r="E590" s="621" t="s">
        <v>34</v>
      </c>
      <c r="F590" s="627">
        <f>=IF(M588="",TODAY()-F587,M588-F587)</f>
        <v>32</v>
      </c>
      <c r="G590" s="762" t="s">
        <v>35</v>
      </c>
      <c r="H590" s="763" t="s">
        <v>256</v>
      </c>
      <c r="I590" s="764">
        <f>=M589</f>
        <v>46093</v>
      </c>
      <c r="J590" s="764">
        <f>=I590+L590</f>
        <v>46096</v>
      </c>
      <c r="K590" s="764">
        <f>=J590</f>
        <v>46096</v>
      </c>
      <c r="L590" s="762">
        <v>3</v>
      </c>
      <c r="M590" s="764">
        <v>46101</v>
      </c>
      <c r="N590" s="467">
        <f>=M590-I590</f>
        <v>8</v>
      </c>
      <c r="O590" s="127">
        <f>=IF(M590="",TODAY()-J590,M590-J590)</f>
        <v>5</v>
      </c>
      <c r="P590" s="131" t="s">
        <f>=IF(O590&gt;0,"逾期","正常")</f>
        <v>21</v>
      </c>
      <c r="Q590" s="623" t="s">
        <v>509</v>
      </c>
      <c r="R590" s="624" t="s"/>
    </row>
    <row r="591" spans="1:18" s="57" customFormat="1">
      <c r="A591" s="631" t="s"/>
      <c r="B591" s="632" t="s"/>
      <c r="C591" s="633" t="s"/>
      <c r="D591" s="634" t="s">
        <v>36</v>
      </c>
      <c r="E591" s="634" t="s">
        <v>37</v>
      </c>
      <c r="F591" s="557">
        <v>0.91</v>
      </c>
      <c r="G591" s="666" t="s">
        <v>38</v>
      </c>
      <c r="H591" s="673" t="s">
        <f>=D588</f>
        <v>57</v>
      </c>
      <c r="I591" s="668">
        <f>=M590</f>
        <v>46101</v>
      </c>
      <c r="J591" s="668">
        <f>=I591+L591</f>
        <v>46191</v>
      </c>
      <c r="K591" s="668">
        <f>=J591</f>
        <v>46191</v>
      </c>
      <c r="L591" s="669">
        <v>90</v>
      </c>
      <c r="M591" s="668" t="s"/>
      <c r="N591" s="639" t="s"/>
      <c r="O591" s="127">
        <f>=IF(M591="",TODAY()-J591,M591-J591)</f>
        <v>-49</v>
      </c>
      <c r="P591" s="433" t="s">
        <f>=IF(O591&gt;0,"逾期","正常")</f>
        <v>32</v>
      </c>
      <c r="Q591" s="640" t="s"/>
      <c r="R591" s="641" t="s"/>
    </row>
    <row r="592" spans="1:18" s="57" customFormat="1">
      <c r="A592" s="606" t="s">
        <v>510</v>
      </c>
      <c r="B592" s="607" t="s">
        <v>32</v>
      </c>
      <c r="C592" s="608" t="s">
        <v>118</v>
      </c>
      <c r="D592" s="609" t="s">
        <v>17</v>
      </c>
      <c r="E592" s="609" t="s">
        <v>18</v>
      </c>
      <c r="F592" s="599">
        <v>46059</v>
      </c>
      <c r="G592" s="610" t="s">
        <v>19</v>
      </c>
      <c r="H592" s="670" t="s">
        <v>309</v>
      </c>
      <c r="I592" s="612">
        <f>=F592</f>
        <v>46059</v>
      </c>
      <c r="J592" s="599">
        <v>46084</v>
      </c>
      <c r="K592" s="599">
        <v>46081</v>
      </c>
      <c r="L592" s="613">
        <f>=J592-I592</f>
        <v>25</v>
      </c>
      <c r="M592" s="599">
        <v>46084</v>
      </c>
      <c r="N592" s="598">
        <f>=M592-I592</f>
        <v>25</v>
      </c>
      <c r="O592" s="655">
        <f>=IF(M592="",TODAY()-J592,M592-J592)</f>
        <v>0</v>
      </c>
      <c r="P592" s="131" t="s">
        <f>=IF(O592&gt;0,"逾期","正常")</f>
        <v>32</v>
      </c>
      <c r="Q592" s="615" t="s">
        <v>511</v>
      </c>
      <c r="R592" s="616" t="s"/>
    </row>
    <row r="593" spans="1:18" s="57" customFormat="1">
      <c r="A593" s="617" t="s"/>
      <c r="B593" s="618" t="s"/>
      <c r="C593" s="619" t="s"/>
      <c r="D593" s="620" t="s">
        <v>180</v>
      </c>
      <c r="E593" s="621" t="s">
        <v>23</v>
      </c>
      <c r="F593" s="622">
        <f>=F594-F592</f>
        <v>42</v>
      </c>
      <c r="G593" s="500" t="s">
        <v>24</v>
      </c>
      <c r="H593" s="674" t="s">
        <v>50</v>
      </c>
      <c r="I593" s="155">
        <f>=M592</f>
        <v>46084</v>
      </c>
      <c r="J593" s="155">
        <f>=F594</f>
        <v>46101</v>
      </c>
      <c r="K593" s="155">
        <f>=J593</f>
        <v>46101</v>
      </c>
      <c r="L593" s="501">
        <f>=J593-I593</f>
        <v>17</v>
      </c>
      <c r="M593" s="502">
        <v>46101</v>
      </c>
      <c r="N593" s="467">
        <f>=M593-I593</f>
        <v>17</v>
      </c>
      <c r="O593" s="127">
        <f>=IF(M593="",TODAY()-J593,M593-J593)</f>
        <v>0</v>
      </c>
      <c r="P593" s="131" t="s">
        <f>=IF(O593&gt;0,"逾期","正常")</f>
        <v>32</v>
      </c>
      <c r="Q593" s="623" t="s">
        <v>512</v>
      </c>
      <c r="R593" s="624" t="s"/>
    </row>
    <row r="594" spans="1:18" s="57" customFormat="1">
      <c r="A594" s="617" t="s"/>
      <c r="B594" s="618" t="s"/>
      <c r="C594" s="619" t="s"/>
      <c r="D594" s="621" t="s">
        <v>28</v>
      </c>
      <c r="E594" s="621" t="s">
        <v>29</v>
      </c>
      <c r="F594" s="601">
        <v>46101</v>
      </c>
      <c r="G594" s="625" t="s">
        <v>30</v>
      </c>
      <c r="H594" s="672" t="s">
        <v>31</v>
      </c>
      <c r="I594" s="601">
        <f>=M593</f>
        <v>46101</v>
      </c>
      <c r="J594" s="601">
        <f>=I594+L594</f>
        <v>46108</v>
      </c>
      <c r="K594" s="601">
        <f>=J594</f>
        <v>46108</v>
      </c>
      <c r="L594" s="625">
        <v>7</v>
      </c>
      <c r="M594" s="601">
        <v>46102</v>
      </c>
      <c r="N594" s="467">
        <f>=M594-I594</f>
        <v>1</v>
      </c>
      <c r="O594" s="127">
        <f>=IF(M594="",TODAY()-J594,M594-J594)</f>
        <v>-6</v>
      </c>
      <c r="P594" s="131" t="s">
        <f>=IF(O594&gt;0,"逾期","正常")</f>
        <v>32</v>
      </c>
      <c r="Q594" s="623" t="s"/>
      <c r="R594" s="624" t="s"/>
    </row>
    <row r="595" spans="1:18" s="57" customFormat="1">
      <c r="A595" s="617" t="s"/>
      <c r="B595" s="618" t="s"/>
      <c r="C595" s="619" t="s"/>
      <c r="D595" s="757" t="s">
        <v>46</v>
      </c>
      <c r="E595" s="621" t="s">
        <v>34</v>
      </c>
      <c r="F595" s="627">
        <f>=IF(M593="",TODAY()-F592,M593-F592)</f>
        <v>42</v>
      </c>
      <c r="G595" s="625" t="s">
        <v>35</v>
      </c>
      <c r="H595" s="672" t="s">
        <v>143</v>
      </c>
      <c r="I595" s="601">
        <f>=M594</f>
        <v>46102</v>
      </c>
      <c r="J595" s="601">
        <f>=I595+L595</f>
        <v>46107</v>
      </c>
      <c r="K595" s="601">
        <f>=J595</f>
        <v>46107</v>
      </c>
      <c r="L595" s="625">
        <v>5</v>
      </c>
      <c r="M595" s="601">
        <v>46132</v>
      </c>
      <c r="N595" s="467">
        <f>=M595-I595</f>
        <v>30</v>
      </c>
      <c r="O595" s="127">
        <f>=IF(M595="",TODAY()-J595,M595-J595)</f>
        <v>25</v>
      </c>
      <c r="P595" s="131" t="s">
        <f>=IF(O595&gt;0,"逾期","正常")</f>
        <v>21</v>
      </c>
      <c r="Q595" s="623" t="s">
        <v>513</v>
      </c>
      <c r="R595" s="624" t="s"/>
    </row>
    <row r="596" spans="1:18" s="57" customFormat="1">
      <c r="A596" s="631" t="s"/>
      <c r="B596" s="632" t="s"/>
      <c r="C596" s="633" t="s"/>
      <c r="D596" s="634" t="s">
        <v>36</v>
      </c>
      <c r="E596" s="634" t="s">
        <v>37</v>
      </c>
      <c r="F596" s="557">
        <v>0.23</v>
      </c>
      <c r="G596" s="666" t="s">
        <v>38</v>
      </c>
      <c r="H596" s="673" t="s">
        <f>=D593</f>
        <v>180</v>
      </c>
      <c r="I596" s="668">
        <f>=M595</f>
        <v>46132</v>
      </c>
      <c r="J596" s="668">
        <f>=I596+L596</f>
        <v>46222</v>
      </c>
      <c r="K596" s="668">
        <f>=J596</f>
        <v>46222</v>
      </c>
      <c r="L596" s="669">
        <v>90</v>
      </c>
      <c r="M596" s="668" t="s"/>
      <c r="N596" s="639" t="s"/>
      <c r="O596" s="127">
        <f>=IF(M596="",TODAY()-J596,M596-J596)</f>
        <v>-72</v>
      </c>
      <c r="P596" s="433" t="s">
        <f>=IF(O596&gt;0,"逾期","正常")</f>
        <v>32</v>
      </c>
      <c r="Q596" s="640" t="s"/>
      <c r="R596" s="641" t="s"/>
    </row>
    <row r="597" spans="1:18" s="57" customFormat="1">
      <c r="A597" s="606" t="s">
        <v>514</v>
      </c>
      <c r="B597" s="607" t="s">
        <v>32</v>
      </c>
      <c r="C597" s="608" t="s">
        <v>515</v>
      </c>
      <c r="D597" s="609" t="s">
        <v>17</v>
      </c>
      <c r="E597" s="609" t="s">
        <v>18</v>
      </c>
      <c r="F597" s="599">
        <v>46079</v>
      </c>
      <c r="G597" s="610" t="s">
        <v>19</v>
      </c>
      <c r="H597" s="670" t="s">
        <v>309</v>
      </c>
      <c r="I597" s="612">
        <f>=F597</f>
        <v>46079</v>
      </c>
      <c r="J597" s="599">
        <v>46089</v>
      </c>
      <c r="K597" s="599">
        <v>46087</v>
      </c>
      <c r="L597" s="613">
        <f>=J597-I597</f>
        <v>10</v>
      </c>
      <c r="M597" s="599">
        <v>46091</v>
      </c>
      <c r="N597" s="598">
        <f>=M597-I597</f>
        <v>12</v>
      </c>
      <c r="O597" s="655">
        <f>=IF(M597="",TODAY()-J597,M597-J597)</f>
        <v>2</v>
      </c>
      <c r="P597" s="131" t="s">
        <f>=IF(O597&gt;0,"逾期","正常")</f>
        <v>21</v>
      </c>
      <c r="Q597" s="615" t="s">
        <v>516</v>
      </c>
      <c r="R597" s="616" t="s"/>
    </row>
    <row r="598" spans="1:18" s="57" customFormat="1">
      <c r="A598" s="617" t="s"/>
      <c r="B598" s="618" t="s"/>
      <c r="C598" s="619" t="s"/>
      <c r="D598" s="620" t="s">
        <v>227</v>
      </c>
      <c r="E598" s="621" t="s">
        <v>23</v>
      </c>
      <c r="F598" s="622">
        <f>=F599-F597</f>
        <v>30</v>
      </c>
      <c r="G598" s="479" t="s">
        <v>24</v>
      </c>
      <c r="H598" s="671" t="s">
        <v>25</v>
      </c>
      <c r="I598" s="134">
        <f>=M597</f>
        <v>46091</v>
      </c>
      <c r="J598" s="134">
        <f>=F599</f>
        <v>46109</v>
      </c>
      <c r="K598" s="134">
        <f>=J598</f>
        <v>46109</v>
      </c>
      <c r="L598" s="492">
        <f>=J598-I598</f>
        <v>18</v>
      </c>
      <c r="M598" s="406">
        <v>46113</v>
      </c>
      <c r="N598" s="467">
        <f>=M598-I598</f>
        <v>22</v>
      </c>
      <c r="O598" s="127">
        <f>=IF(M598="",TODAY()-J598,M598-J598)</f>
        <v>4</v>
      </c>
      <c r="P598" s="131" t="s">
        <f>=IF(O598&gt;0,"逾期","正常")</f>
        <v>21</v>
      </c>
      <c r="Q598" s="623" t="s">
        <v>517</v>
      </c>
      <c r="R598" s="624" t="s"/>
    </row>
    <row r="599" spans="1:18" s="57" customFormat="1">
      <c r="A599" s="617" t="s"/>
      <c r="B599" s="618" t="s"/>
      <c r="C599" s="619" t="s"/>
      <c r="D599" s="621" t="s">
        <v>28</v>
      </c>
      <c r="E599" s="621" t="s">
        <v>29</v>
      </c>
      <c r="F599" s="601">
        <v>46109</v>
      </c>
      <c r="G599" s="625" t="s">
        <v>30</v>
      </c>
      <c r="H599" s="672" t="s">
        <v>31</v>
      </c>
      <c r="I599" s="601">
        <f>=M598</f>
        <v>46113</v>
      </c>
      <c r="J599" s="601">
        <f>=I599+L599</f>
        <v>46120</v>
      </c>
      <c r="K599" s="601">
        <f>=J599</f>
        <v>46120</v>
      </c>
      <c r="L599" s="625">
        <v>7</v>
      </c>
      <c r="M599" s="601">
        <v>46125</v>
      </c>
      <c r="N599" s="467">
        <f>=M599-I599</f>
        <v>12</v>
      </c>
      <c r="O599" s="127">
        <f>=IF(M599="",TODAY()-J599,M599-J599)</f>
        <v>5</v>
      </c>
      <c r="P599" s="131" t="s">
        <f>=IF(O599&gt;0,"逾期","正常")</f>
        <v>21</v>
      </c>
      <c r="Q599" s="623" t="s">
        <v>518</v>
      </c>
      <c r="R599" s="624" t="s"/>
    </row>
    <row r="600" spans="1:18" s="57" customFormat="1">
      <c r="A600" s="617" t="s"/>
      <c r="B600" s="618" t="s"/>
      <c r="C600" s="619" t="s"/>
      <c r="D600" s="757" t="s">
        <v>33</v>
      </c>
      <c r="E600" s="621" t="s">
        <v>34</v>
      </c>
      <c r="F600" s="627">
        <f>=IF(M598="",TODAY()-F597,M598-F597)</f>
        <v>34</v>
      </c>
      <c r="G600" s="759" t="s">
        <v>35</v>
      </c>
      <c r="H600" s="760" t="s">
        <v>104</v>
      </c>
      <c r="I600" s="761">
        <f>=M599</f>
        <v>46125</v>
      </c>
      <c r="J600" s="761">
        <f>=I600+L600</f>
        <v>46139</v>
      </c>
      <c r="K600" s="761">
        <f>=J600</f>
        <v>46139</v>
      </c>
      <c r="L600" s="759">
        <v>14</v>
      </c>
      <c r="M600" s="761" t="s"/>
      <c r="N600" s="630" t="s"/>
      <c r="O600" s="127">
        <f>=IF(M600="",TODAY()-J600,M600-J600)</f>
        <v>3</v>
      </c>
      <c r="P600" s="131" t="s">
        <f>=IF(O600&gt;0,"逾期","正常")</f>
        <v>21</v>
      </c>
      <c r="Q600" s="623" t="s">
        <v>519</v>
      </c>
      <c r="R600" s="624" t="s"/>
    </row>
    <row r="601" spans="1:18" s="57" customFormat="1">
      <c r="A601" s="631" t="s"/>
      <c r="B601" s="632" t="s"/>
      <c r="C601" s="633" t="s"/>
      <c r="D601" s="634" t="s">
        <v>36</v>
      </c>
      <c r="E601" s="634" t="s">
        <v>37</v>
      </c>
      <c r="F601" s="557">
        <v>0.9</v>
      </c>
      <c r="G601" s="636" t="s">
        <v>38</v>
      </c>
      <c r="H601" s="677" t="s">
        <f>=D598</f>
        <v>227</v>
      </c>
      <c r="I601" s="604" t="s"/>
      <c r="J601" s="604" t="s"/>
      <c r="K601" s="604" t="s"/>
      <c r="L601" s="638">
        <v>90</v>
      </c>
      <c r="M601" s="604" t="s"/>
      <c r="N601" s="639" t="s"/>
      <c r="O601" s="638" t="s"/>
      <c r="P601" s="433" t="s">
        <f>=IF(O601&gt;0,"逾期","正常")</f>
        <v>32</v>
      </c>
      <c r="Q601" s="640" t="s"/>
      <c r="R601" s="641" t="s"/>
    </row>
    <row r="602" spans="1:18" s="57" customFormat="1">
      <c r="A602" s="606" t="s">
        <v>520</v>
      </c>
      <c r="B602" s="607" t="s">
        <v>32</v>
      </c>
      <c r="C602" s="608" t="s">
        <v>521</v>
      </c>
      <c r="D602" s="609" t="s">
        <v>17</v>
      </c>
      <c r="E602" s="609" t="s">
        <v>18</v>
      </c>
      <c r="F602" s="599">
        <v>46079</v>
      </c>
      <c r="G602" s="610" t="s">
        <v>19</v>
      </c>
      <c r="H602" s="670" t="s">
        <v>49</v>
      </c>
      <c r="I602" s="612">
        <f>=F602</f>
        <v>46079</v>
      </c>
      <c r="J602" s="599">
        <v>46089</v>
      </c>
      <c r="K602" s="599">
        <v>46087</v>
      </c>
      <c r="L602" s="613">
        <f>=J602-I602</f>
        <v>10</v>
      </c>
      <c r="M602" s="599">
        <v>46090</v>
      </c>
      <c r="N602" s="598">
        <f>=M602-I602</f>
        <v>11</v>
      </c>
      <c r="O602" s="655">
        <f>=IF(M602="",TODAY()-J602,M602-J602)</f>
        <v>1</v>
      </c>
      <c r="P602" s="131" t="s">
        <f>=IF(O602&gt;0,"逾期","正常")</f>
        <v>21</v>
      </c>
      <c r="Q602" s="615" t="s">
        <v>522</v>
      </c>
      <c r="R602" s="616" t="s"/>
    </row>
    <row r="603" spans="1:18" s="57" customFormat="1">
      <c r="A603" s="617" t="s"/>
      <c r="B603" s="618" t="s"/>
      <c r="C603" s="619" t="s"/>
      <c r="D603" s="620" t="s">
        <v>227</v>
      </c>
      <c r="E603" s="621" t="s">
        <v>23</v>
      </c>
      <c r="F603" s="622">
        <f>=F604-F602</f>
        <v>30</v>
      </c>
      <c r="G603" s="479" t="s">
        <v>24</v>
      </c>
      <c r="H603" s="671" t="s">
        <v>50</v>
      </c>
      <c r="I603" s="134">
        <f>=M602</f>
        <v>46090</v>
      </c>
      <c r="J603" s="134">
        <f>=F604</f>
        <v>46109</v>
      </c>
      <c r="K603" s="134">
        <f>=J603</f>
        <v>46109</v>
      </c>
      <c r="L603" s="492">
        <f>=J603-I603</f>
        <v>19</v>
      </c>
      <c r="M603" s="406">
        <v>46113</v>
      </c>
      <c r="N603" s="467">
        <f>=M603-I603</f>
        <v>23</v>
      </c>
      <c r="O603" s="127">
        <f>=IF(M603="",TODAY()-J603,M603-J603)</f>
        <v>4</v>
      </c>
      <c r="P603" s="131" t="s">
        <f>=IF(O603&gt;0,"逾期","正常")</f>
        <v>21</v>
      </c>
      <c r="Q603" s="623" t="s">
        <v>523</v>
      </c>
      <c r="R603" s="624" t="s"/>
    </row>
    <row r="604" spans="1:18" s="57" customFormat="1">
      <c r="A604" s="617" t="s"/>
      <c r="B604" s="618" t="s"/>
      <c r="C604" s="619" t="s"/>
      <c r="D604" s="621" t="s">
        <v>28</v>
      </c>
      <c r="E604" s="621" t="s">
        <v>29</v>
      </c>
      <c r="F604" s="601">
        <v>46109</v>
      </c>
      <c r="G604" s="625" t="s">
        <v>30</v>
      </c>
      <c r="H604" s="672" t="s">
        <v>31</v>
      </c>
      <c r="I604" s="601">
        <f>=M603</f>
        <v>46113</v>
      </c>
      <c r="J604" s="601">
        <f>=I604+L604</f>
        <v>46120</v>
      </c>
      <c r="K604" s="601">
        <f>=J604</f>
        <v>46120</v>
      </c>
      <c r="L604" s="625">
        <v>7</v>
      </c>
      <c r="M604" s="601">
        <v>46127</v>
      </c>
      <c r="N604" s="467">
        <f>=M604-I604</f>
        <v>14</v>
      </c>
      <c r="O604" s="127">
        <f>=IF(M604="",TODAY()-J604,M604-J604)</f>
        <v>7</v>
      </c>
      <c r="P604" s="131" t="s">
        <f>=IF(O604&gt;0,"逾期","正常")</f>
        <v>21</v>
      </c>
      <c r="Q604" s="623" t="s">
        <v>518</v>
      </c>
      <c r="R604" s="624" t="s"/>
    </row>
    <row r="605" spans="1:18" s="57" customFormat="1">
      <c r="A605" s="617" t="s"/>
      <c r="B605" s="618" t="s"/>
      <c r="C605" s="619" t="s"/>
      <c r="D605" s="757" t="s">
        <v>46</v>
      </c>
      <c r="E605" s="621" t="s">
        <v>34</v>
      </c>
      <c r="F605" s="627">
        <f>=IF(M603="",TODAY()-F602,M603-F602)</f>
        <v>34</v>
      </c>
      <c r="G605" s="625" t="s">
        <v>35</v>
      </c>
      <c r="H605" s="672" t="s">
        <v>110</v>
      </c>
      <c r="I605" s="601">
        <f>=M604</f>
        <v>46127</v>
      </c>
      <c r="J605" s="601">
        <f>=I605+L605</f>
        <v>46133</v>
      </c>
      <c r="K605" s="601">
        <f>=J605</f>
        <v>46133</v>
      </c>
      <c r="L605" s="625">
        <v>6</v>
      </c>
      <c r="M605" s="601">
        <v>46137</v>
      </c>
      <c r="N605" s="467">
        <f>=M605-I605</f>
        <v>10</v>
      </c>
      <c r="O605" s="127">
        <f>=IF(M605="",TODAY()-J605,M605-J605)</f>
        <v>4</v>
      </c>
      <c r="P605" s="131" t="s">
        <f>=IF(O605&gt;0,"逾期","正常")</f>
        <v>21</v>
      </c>
      <c r="Q605" s="623" t="s">
        <v>524</v>
      </c>
      <c r="R605" s="624" t="s"/>
    </row>
    <row r="606" spans="1:18" s="57" customFormat="1">
      <c r="A606" s="631" t="s"/>
      <c r="B606" s="632" t="s"/>
      <c r="C606" s="633" t="s"/>
      <c r="D606" s="634" t="s">
        <v>36</v>
      </c>
      <c r="E606" s="634" t="s">
        <v>37</v>
      </c>
      <c r="F606" s="557">
        <v>0.6</v>
      </c>
      <c r="G606" s="666" t="s">
        <v>38</v>
      </c>
      <c r="H606" s="673" t="s">
        <f>=D603</f>
        <v>227</v>
      </c>
      <c r="I606" s="668">
        <f>=M605</f>
        <v>46137</v>
      </c>
      <c r="J606" s="668">
        <f>=I606+L606</f>
        <v>46227</v>
      </c>
      <c r="K606" s="668">
        <f>=J606</f>
        <v>46227</v>
      </c>
      <c r="L606" s="669">
        <v>90</v>
      </c>
      <c r="M606" s="668" t="s"/>
      <c r="N606" s="639" t="s"/>
      <c r="O606" s="127">
        <f>=IF(M606="",TODAY()-J606,M606-J606)</f>
        <v>-77</v>
      </c>
      <c r="P606" s="433" t="s">
        <f>=IF(O606&gt;0,"逾期","正常")</f>
        <v>32</v>
      </c>
      <c r="Q606" s="640" t="s"/>
      <c r="R606" s="641" t="s"/>
    </row>
    <row r="607" spans="1:18" s="57" customFormat="1">
      <c r="A607" s="606" t="s">
        <v>525</v>
      </c>
      <c r="B607" s="607" t="s">
        <v>15</v>
      </c>
      <c r="C607" s="608" t="s">
        <v>526</v>
      </c>
      <c r="D607" s="609" t="s">
        <v>17</v>
      </c>
      <c r="E607" s="609" t="s">
        <v>18</v>
      </c>
      <c r="F607" s="599">
        <v>46083</v>
      </c>
      <c r="G607" s="610" t="s">
        <v>19</v>
      </c>
      <c r="H607" s="670" t="s">
        <v>49</v>
      </c>
      <c r="I607" s="612">
        <f>=F607</f>
        <v>46083</v>
      </c>
      <c r="J607" s="599">
        <v>46113</v>
      </c>
      <c r="K607" s="599">
        <v>46108</v>
      </c>
      <c r="L607" s="613">
        <f>=J607-I607</f>
        <v>30</v>
      </c>
      <c r="M607" s="599">
        <v>46094</v>
      </c>
      <c r="N607" s="598">
        <f>=M607-I607</f>
        <v>11</v>
      </c>
      <c r="O607" s="655">
        <f>=IF(M607="",TODAY()-J607,M607-J607)</f>
        <v>-19</v>
      </c>
      <c r="P607" s="131" t="s">
        <f>=IF(O607&gt;0,"逾期","正常")</f>
        <v>32</v>
      </c>
      <c r="Q607" s="615" t="s"/>
      <c r="R607" s="616" t="s"/>
    </row>
    <row r="608" spans="1:18" s="57" customFormat="1">
      <c r="A608" s="617" t="s"/>
      <c r="B608" s="618" t="s"/>
      <c r="C608" s="619" t="s"/>
      <c r="D608" s="765" t="s">
        <v>72</v>
      </c>
      <c r="E608" s="766" t="s">
        <v>23</v>
      </c>
      <c r="F608" s="622">
        <f>=F609-F607</f>
        <v>70</v>
      </c>
      <c r="G608" s="527" t="s">
        <v>24</v>
      </c>
      <c r="H608" s="767" t="s">
        <v>50</v>
      </c>
      <c r="I608" s="134">
        <f>=M607</f>
        <v>46094</v>
      </c>
      <c r="J608" s="134">
        <f>=F609</f>
        <v>46153</v>
      </c>
      <c r="K608" s="134">
        <f>=J608</f>
        <v>46153</v>
      </c>
      <c r="L608" s="492">
        <f>=J608-I608</f>
        <v>59</v>
      </c>
      <c r="M608" s="768">
        <v>46120</v>
      </c>
      <c r="N608" s="467">
        <f>=M608-I608</f>
        <v>26</v>
      </c>
      <c r="O608" s="128">
        <f>=IF(M608="",TODAY()-J608,M608-J608)</f>
        <v>-33</v>
      </c>
      <c r="P608" s="131" t="s">
        <f>=IF(O608&gt;0,"逾期","正常")</f>
        <v>32</v>
      </c>
      <c r="Q608" s="623" t="s"/>
      <c r="R608" s="624" t="s"/>
    </row>
    <row r="609" spans="1:18" s="57" customFormat="1">
      <c r="A609" s="617" t="s"/>
      <c r="B609" s="618" t="s"/>
      <c r="C609" s="619" t="s"/>
      <c r="D609" s="621" t="s">
        <v>28</v>
      </c>
      <c r="E609" s="621" t="s">
        <v>29</v>
      </c>
      <c r="F609" s="601">
        <v>46153</v>
      </c>
      <c r="G609" s="625" t="s">
        <v>30</v>
      </c>
      <c r="H609" s="672" t="s">
        <v>31</v>
      </c>
      <c r="I609" s="601">
        <f>=M608</f>
        <v>46120</v>
      </c>
      <c r="J609" s="601">
        <f>=I609+L609</f>
        <v>46127</v>
      </c>
      <c r="K609" s="601">
        <f>=J609</f>
        <v>46127</v>
      </c>
      <c r="L609" s="625">
        <v>7</v>
      </c>
      <c r="M609" s="601">
        <v>46136</v>
      </c>
      <c r="N609" s="403">
        <f>=M609-I609</f>
        <v>16</v>
      </c>
      <c r="O609" s="128">
        <f>=IF(M609="",TODAY()-J609,M609-J609)</f>
        <v>9</v>
      </c>
      <c r="P609" s="131" t="s">
        <f>=IF(O609&gt;0,"逾期","正常")</f>
        <v>21</v>
      </c>
      <c r="Q609" s="623" t="s">
        <v>527</v>
      </c>
      <c r="R609" s="624" t="s"/>
    </row>
    <row r="610" spans="1:18" s="57" customFormat="1">
      <c r="A610" s="617" t="s"/>
      <c r="B610" s="618" t="s"/>
      <c r="C610" s="619" t="s"/>
      <c r="D610" s="757" t="s">
        <v>51</v>
      </c>
      <c r="E610" s="621" t="s">
        <v>34</v>
      </c>
      <c r="F610" s="627">
        <f>=IF(M608="",TODAY()-F607,M608-F607)</f>
        <v>37</v>
      </c>
      <c r="G610" s="759" t="s">
        <v>35</v>
      </c>
      <c r="H610" s="760" t="s">
        <v>99</v>
      </c>
      <c r="I610" s="761">
        <f>=M609</f>
        <v>46136</v>
      </c>
      <c r="J610" s="761">
        <f>=I610+L610</f>
        <v>46143</v>
      </c>
      <c r="K610" s="761">
        <f>=J610</f>
        <v>46143</v>
      </c>
      <c r="L610" s="759">
        <v>7</v>
      </c>
      <c r="M610" s="761" t="s"/>
      <c r="N610" s="630" t="s"/>
      <c r="O610" s="128">
        <f>=IF(M610="",TODAY()-J610,M610-J610)</f>
        <v>7</v>
      </c>
      <c r="P610" s="131" t="s">
        <f>=IF(O610&gt;0,"逾期","正常")</f>
        <v>21</v>
      </c>
      <c r="Q610" s="623" t="s">
        <v>528</v>
      </c>
      <c r="R610" s="624" t="s"/>
    </row>
    <row r="611" spans="1:18" s="57" customFormat="1">
      <c r="A611" s="631" t="s"/>
      <c r="B611" s="632" t="s"/>
      <c r="C611" s="633" t="s"/>
      <c r="D611" s="634" t="s">
        <v>36</v>
      </c>
      <c r="E611" s="634" t="s">
        <v>37</v>
      </c>
      <c r="F611" s="557">
        <v>1</v>
      </c>
      <c r="G611" s="636" t="s">
        <v>38</v>
      </c>
      <c r="H611" s="677" t="s">
        <f>=D608</f>
        <v>72</v>
      </c>
      <c r="I611" s="604" t="s"/>
      <c r="J611" s="604" t="s"/>
      <c r="K611" s="604" t="s"/>
      <c r="L611" s="638">
        <v>90</v>
      </c>
      <c r="M611" s="604" t="s"/>
      <c r="N611" s="639" t="s"/>
      <c r="O611" s="638" t="s"/>
      <c r="P611" s="433" t="s">
        <f>=IF(O611&gt;0,"逾期","正常")</f>
        <v>32</v>
      </c>
      <c r="Q611" s="640" t="s"/>
      <c r="R611" s="641" t="s"/>
    </row>
    <row r="612" spans="1:18" s="57" customFormat="1">
      <c r="A612" s="606" t="s">
        <v>529</v>
      </c>
      <c r="B612" s="607" t="s">
        <v>32</v>
      </c>
      <c r="C612" s="608" t="s">
        <v>530</v>
      </c>
      <c r="D612" s="609" t="s">
        <v>17</v>
      </c>
      <c r="E612" s="609" t="s">
        <v>18</v>
      </c>
      <c r="F612" s="599">
        <v>46083</v>
      </c>
      <c r="G612" s="610" t="s">
        <v>19</v>
      </c>
      <c r="H612" s="670" t="s">
        <v>63</v>
      </c>
      <c r="I612" s="612">
        <f>=F612</f>
        <v>46083</v>
      </c>
      <c r="J612" s="599">
        <v>46100</v>
      </c>
      <c r="K612" s="599">
        <v>46098</v>
      </c>
      <c r="L612" s="613">
        <f>=J612-I612</f>
        <v>17</v>
      </c>
      <c r="M612" s="599">
        <v>46105</v>
      </c>
      <c r="N612" s="598">
        <f>=M612-I612</f>
        <v>22</v>
      </c>
      <c r="O612" s="655">
        <f>=IF(M612="",TODAY()-J612,M612-J612)</f>
        <v>5</v>
      </c>
      <c r="P612" s="131" t="s">
        <f>=IF(O612&gt;0,"逾期","正常")</f>
        <v>21</v>
      </c>
      <c r="Q612" s="615" t="s">
        <v>531</v>
      </c>
      <c r="R612" s="616" t="s"/>
    </row>
    <row r="613" spans="1:18" s="57" customFormat="1">
      <c r="A613" s="617" t="s"/>
      <c r="B613" s="618" t="s"/>
      <c r="C613" s="619" t="s"/>
      <c r="D613" s="620" t="s">
        <v>72</v>
      </c>
      <c r="E613" s="621" t="s">
        <v>23</v>
      </c>
      <c r="F613" s="622">
        <f>=F614-F612</f>
        <v>35</v>
      </c>
      <c r="G613" s="479" t="s">
        <v>24</v>
      </c>
      <c r="H613" s="671" t="s">
        <v>50</v>
      </c>
      <c r="I613" s="134">
        <f>=M612</f>
        <v>46105</v>
      </c>
      <c r="J613" s="134">
        <f>=F614</f>
        <v>46118</v>
      </c>
      <c r="K613" s="134">
        <f>=J613</f>
        <v>46118</v>
      </c>
      <c r="L613" s="492">
        <f>=J613-I613</f>
        <v>13</v>
      </c>
      <c r="M613" s="406">
        <v>46129</v>
      </c>
      <c r="N613" s="467">
        <f>=M613-I613</f>
        <v>24</v>
      </c>
      <c r="O613" s="127">
        <f>=IF(M613="",TODAY()-J613,M613-J613)</f>
        <v>11</v>
      </c>
      <c r="P613" s="131" t="s">
        <f>=IF(O613&gt;0,"逾期","正常")</f>
        <v>21</v>
      </c>
      <c r="Q613" s="623" t="s">
        <v>505</v>
      </c>
      <c r="R613" s="624" t="s"/>
    </row>
    <row r="614" spans="1:18" s="57" customFormat="1">
      <c r="A614" s="617" t="s"/>
      <c r="B614" s="618" t="s"/>
      <c r="C614" s="619" t="s"/>
      <c r="D614" s="621" t="s">
        <v>28</v>
      </c>
      <c r="E614" s="621" t="s">
        <v>29</v>
      </c>
      <c r="F614" s="601">
        <v>46118</v>
      </c>
      <c r="G614" s="625" t="s">
        <v>30</v>
      </c>
      <c r="H614" s="672" t="s">
        <v>31</v>
      </c>
      <c r="I614" s="601">
        <f>=M613</f>
        <v>46129</v>
      </c>
      <c r="J614" s="601">
        <f>=I614+L614</f>
        <v>46136</v>
      </c>
      <c r="K614" s="601">
        <f>=J614</f>
        <v>46136</v>
      </c>
      <c r="L614" s="625">
        <v>7</v>
      </c>
      <c r="M614" s="601">
        <v>46134</v>
      </c>
      <c r="N614" s="467">
        <f>=M614-I614</f>
        <v>5</v>
      </c>
      <c r="O614" s="127">
        <f>=IF(M614="",TODAY()-J614,M614-J614)</f>
        <v>-2</v>
      </c>
      <c r="P614" s="131" t="s">
        <f>=IF(O614&gt;0,"逾期","正常")</f>
        <v>32</v>
      </c>
      <c r="Q614" s="623" t="s"/>
      <c r="R614" s="624" t="s"/>
    </row>
    <row r="615" spans="1:18" s="57" customFormat="1">
      <c r="A615" s="617" t="s"/>
      <c r="B615" s="618" t="s"/>
      <c r="C615" s="619" t="s"/>
      <c r="D615" s="757" t="s">
        <v>46</v>
      </c>
      <c r="E615" s="621" t="s">
        <v>34</v>
      </c>
      <c r="F615" s="627">
        <f>=IF(M613="",TODAY()-F612,M613-F612)</f>
        <v>46</v>
      </c>
      <c r="G615" s="682" t="s">
        <v>35</v>
      </c>
      <c r="H615" s="683" t="s">
        <v>138</v>
      </c>
      <c r="I615" s="684">
        <f>=M614</f>
        <v>46134</v>
      </c>
      <c r="J615" s="684">
        <f>=I615+L615</f>
        <v>46154</v>
      </c>
      <c r="K615" s="684">
        <f>=J615</f>
        <v>46154</v>
      </c>
      <c r="L615" s="682">
        <v>20</v>
      </c>
      <c r="M615" s="684" t="s"/>
      <c r="N615" s="630" t="s"/>
      <c r="O615" s="127">
        <f>=IF(M615="",TODAY()-J615,M615-J615)</f>
        <v>-4</v>
      </c>
      <c r="P615" s="131" t="s">
        <f>=IF(O615&gt;0,"逾期","正常")</f>
        <v>32</v>
      </c>
      <c r="Q615" s="623" t="s"/>
      <c r="R615" s="624" t="s"/>
    </row>
    <row r="616" spans="1:18" s="57" customFormat="1">
      <c r="A616" s="631" t="s"/>
      <c r="B616" s="632" t="s"/>
      <c r="C616" s="633" t="s"/>
      <c r="D616" s="634" t="s">
        <v>36</v>
      </c>
      <c r="E616" s="634" t="s">
        <v>37</v>
      </c>
      <c r="F616" s="557">
        <v>0.9</v>
      </c>
      <c r="G616" s="636" t="s">
        <v>38</v>
      </c>
      <c r="H616" s="677" t="s">
        <f>=D613</f>
        <v>72</v>
      </c>
      <c r="I616" s="604" t="s"/>
      <c r="J616" s="604" t="s"/>
      <c r="K616" s="604" t="s"/>
      <c r="L616" s="638">
        <v>90</v>
      </c>
      <c r="M616" s="604" t="s"/>
      <c r="N616" s="639" t="s"/>
      <c r="O616" s="638" t="s"/>
      <c r="P616" s="433" t="s">
        <f>=IF(O616&gt;0,"逾期","正常")</f>
        <v>32</v>
      </c>
      <c r="Q616" s="640" t="s"/>
      <c r="R616" s="641" t="s"/>
    </row>
    <row r="617" spans="1:18" s="57" customFormat="1">
      <c r="A617" s="769" t="s">
        <v>532</v>
      </c>
      <c r="B617" s="607" t="s">
        <v>32</v>
      </c>
      <c r="C617" s="610" t="s">
        <v>156</v>
      </c>
      <c r="D617" s="643" t="s">
        <v>17</v>
      </c>
      <c r="E617" s="643" t="s">
        <v>18</v>
      </c>
      <c r="F617" s="599">
        <v>46083</v>
      </c>
      <c r="G617" s="610" t="s">
        <v>19</v>
      </c>
      <c r="H617" s="611" t="s">
        <v>63</v>
      </c>
      <c r="I617" s="612">
        <f>=F617</f>
        <v>46083</v>
      </c>
      <c r="J617" s="599">
        <v>46100</v>
      </c>
      <c r="K617" s="599">
        <v>46098</v>
      </c>
      <c r="L617" s="613">
        <f>=J617-I617</f>
        <v>17</v>
      </c>
      <c r="M617" s="599">
        <v>46099</v>
      </c>
      <c r="N617" s="598">
        <f>=M617-I617</f>
        <v>16</v>
      </c>
      <c r="O617" s="614">
        <f>=IF(M617="",TODAY()-J617,M617-J617)</f>
        <v>-1</v>
      </c>
      <c r="P617" s="438" t="s">
        <f>=IF(O617&gt;0,"逾期","正常")</f>
        <v>32</v>
      </c>
      <c r="Q617" s="770" t="s">
        <v>533</v>
      </c>
      <c r="R617" s="771" t="s"/>
    </row>
    <row r="618" spans="1:18" s="57" customFormat="1">
      <c r="A618" s="617" t="s"/>
      <c r="B618" s="618" t="s"/>
      <c r="C618" s="619" t="s"/>
      <c r="D618" s="620" t="s">
        <v>72</v>
      </c>
      <c r="E618" s="621" t="s">
        <v>23</v>
      </c>
      <c r="F618" s="622">
        <f>=F619-F617</f>
        <v>35</v>
      </c>
      <c r="G618" s="772" t="s">
        <v>24</v>
      </c>
      <c r="H618" s="772" t="s">
        <v>50</v>
      </c>
      <c r="I618" s="166">
        <f>=M617</f>
        <v>46099</v>
      </c>
      <c r="J618" s="166">
        <f>=F619</f>
        <v>46118</v>
      </c>
      <c r="K618" s="166">
        <f>=J618</f>
        <v>46118</v>
      </c>
      <c r="L618" s="773">
        <f>=J618-I618</f>
        <v>19</v>
      </c>
      <c r="M618" s="564" t="s"/>
      <c r="N618" s="467" t="s"/>
      <c r="O618" s="127">
        <f>=IF(M618="",TODAY()-J618,M618-J618)</f>
        <v>32</v>
      </c>
      <c r="P618" s="131" t="s">
        <f>=IF(O618&gt;0,"逾期","正常")</f>
        <v>21</v>
      </c>
      <c r="Q618" s="623" t="s">
        <v>534</v>
      </c>
      <c r="R618" s="624" t="s"/>
    </row>
    <row r="619" spans="1:18" s="57" customFormat="1">
      <c r="A619" s="617" t="s"/>
      <c r="B619" s="618" t="s"/>
      <c r="C619" s="619" t="s"/>
      <c r="D619" s="621" t="s">
        <v>28</v>
      </c>
      <c r="E619" s="621" t="s">
        <v>29</v>
      </c>
      <c r="F619" s="601">
        <v>46118</v>
      </c>
      <c r="G619" s="630" t="s">
        <v>30</v>
      </c>
      <c r="H619" s="630" t="s">
        <v>31</v>
      </c>
      <c r="I619" s="651" t="s"/>
      <c r="J619" s="651" t="s"/>
      <c r="K619" s="651" t="s"/>
      <c r="L619" s="625">
        <v>7</v>
      </c>
      <c r="M619" s="651" t="s"/>
      <c r="N619" s="653" t="s"/>
      <c r="O619" s="630" t="s"/>
      <c r="P619" s="131" t="s">
        <f>=IF(O619&gt;0,"逾期","正常")</f>
        <v>32</v>
      </c>
      <c r="Q619" s="623" t="s"/>
      <c r="R619" s="624" t="s"/>
    </row>
    <row r="620" spans="1:18" s="57" customFormat="1">
      <c r="A620" s="617" t="s"/>
      <c r="B620" s="618" t="s"/>
      <c r="C620" s="619" t="s"/>
      <c r="D620" s="757" t="s">
        <v>51</v>
      </c>
      <c r="E620" s="621" t="s">
        <v>34</v>
      </c>
      <c r="F620" s="627">
        <f>=IF(M618="",TODAY()-F617,M618-F617)</f>
        <v>67</v>
      </c>
      <c r="G620" s="630" t="s">
        <v>35</v>
      </c>
      <c r="H620" s="630" t="s"/>
      <c r="I620" s="651" t="s"/>
      <c r="J620" s="651" t="s"/>
      <c r="K620" s="651" t="s"/>
      <c r="L620" s="630" t="s"/>
      <c r="M620" s="651" t="s"/>
      <c r="N620" s="630" t="s"/>
      <c r="O620" s="630" t="s"/>
      <c r="P620" s="131" t="s">
        <f>=IF(O620&gt;0,"逾期","正常")</f>
        <v>32</v>
      </c>
      <c r="Q620" s="623" t="s"/>
      <c r="R620" s="624" t="s"/>
    </row>
    <row r="621" spans="1:18" s="57" customFormat="1">
      <c r="A621" s="631" t="s"/>
      <c r="B621" s="632" t="s"/>
      <c r="C621" s="633" t="s"/>
      <c r="D621" s="634" t="s">
        <v>36</v>
      </c>
      <c r="E621" s="634" t="s">
        <v>37</v>
      </c>
      <c r="F621" s="557">
        <v>0.5</v>
      </c>
      <c r="G621" s="636" t="s">
        <v>38</v>
      </c>
      <c r="H621" s="637" t="s">
        <f>=D618</f>
        <v>72</v>
      </c>
      <c r="I621" s="604" t="s"/>
      <c r="J621" s="604" t="s"/>
      <c r="K621" s="604" t="s"/>
      <c r="L621" s="638">
        <v>90</v>
      </c>
      <c r="M621" s="604" t="s"/>
      <c r="N621" s="639" t="s"/>
      <c r="O621" s="638" t="s"/>
      <c r="P621" s="433" t="s">
        <f>=IF(O621&gt;0,"逾期","正常")</f>
        <v>32</v>
      </c>
      <c r="Q621" s="640" t="s"/>
      <c r="R621" s="641" t="s"/>
    </row>
    <row r="622" spans="1:18" s="57" customFormat="1">
      <c r="A622" s="606" t="s">
        <v>535</v>
      </c>
      <c r="B622" s="607" t="s">
        <v>32</v>
      </c>
      <c r="C622" s="608" t="s">
        <v>536</v>
      </c>
      <c r="D622" s="609" t="s">
        <v>17</v>
      </c>
      <c r="E622" s="609" t="s">
        <v>18</v>
      </c>
      <c r="F622" s="599">
        <v>46085</v>
      </c>
      <c r="G622" s="610" t="s">
        <v>19</v>
      </c>
      <c r="H622" s="611" t="s">
        <v>309</v>
      </c>
      <c r="I622" s="612">
        <f>=F622</f>
        <v>46085</v>
      </c>
      <c r="J622" s="599">
        <v>46095</v>
      </c>
      <c r="K622" s="599">
        <v>46093</v>
      </c>
      <c r="L622" s="613">
        <f>=J622-I622</f>
        <v>10</v>
      </c>
      <c r="M622" s="599">
        <v>46095</v>
      </c>
      <c r="N622" s="598">
        <f>=M622-I622</f>
        <v>10</v>
      </c>
      <c r="O622" s="655">
        <f>=IF(M622="",TODAY()-J622,M622-J622)</f>
        <v>0</v>
      </c>
      <c r="P622" s="131" t="s">
        <f>=IF(O622&gt;0,"逾期","正常")</f>
        <v>32</v>
      </c>
      <c r="Q622" s="615" t="s">
        <v>537</v>
      </c>
      <c r="R622" s="616" t="s"/>
    </row>
    <row r="623" spans="1:18" s="57" customFormat="1">
      <c r="A623" s="617" t="s"/>
      <c r="B623" s="618" t="s"/>
      <c r="C623" s="619" t="s"/>
      <c r="D623" s="620" t="s">
        <v>72</v>
      </c>
      <c r="E623" s="621" t="s">
        <v>23</v>
      </c>
      <c r="F623" s="622">
        <f>=F624-F622</f>
        <v>25</v>
      </c>
      <c r="G623" s="479" t="s">
        <v>24</v>
      </c>
      <c r="H623" s="479" t="s">
        <v>50</v>
      </c>
      <c r="I623" s="134">
        <f>=M622</f>
        <v>46095</v>
      </c>
      <c r="J623" s="134">
        <f>=F624</f>
        <v>46110</v>
      </c>
      <c r="K623" s="134">
        <f>=J623</f>
        <v>46110</v>
      </c>
      <c r="L623" s="492">
        <f>=J623-I623</f>
        <v>15</v>
      </c>
      <c r="M623" s="406">
        <v>46113</v>
      </c>
      <c r="N623" s="467">
        <f>=M623-I623</f>
        <v>18</v>
      </c>
      <c r="O623" s="127">
        <f>=IF(M623="",TODAY()-J623,M623-J623)</f>
        <v>3</v>
      </c>
      <c r="P623" s="131" t="s">
        <f>=IF(O623&gt;0,"逾期","正常")</f>
        <v>21</v>
      </c>
      <c r="Q623" s="623" t="s">
        <v>523</v>
      </c>
      <c r="R623" s="624" t="s"/>
    </row>
    <row r="624" spans="1:18" s="57" customFormat="1">
      <c r="A624" s="617" t="s"/>
      <c r="B624" s="618" t="s"/>
      <c r="C624" s="619" t="s"/>
      <c r="D624" s="621" t="s">
        <v>28</v>
      </c>
      <c r="E624" s="621" t="s">
        <v>29</v>
      </c>
      <c r="F624" s="601">
        <v>46110</v>
      </c>
      <c r="G624" s="625" t="s">
        <v>30</v>
      </c>
      <c r="H624" s="625" t="s">
        <v>31</v>
      </c>
      <c r="I624" s="601">
        <f>=M623</f>
        <v>46113</v>
      </c>
      <c r="J624" s="601">
        <f>=I624+L624</f>
        <v>46120</v>
      </c>
      <c r="K624" s="601">
        <f>=J624</f>
        <v>46120</v>
      </c>
      <c r="L624" s="625">
        <v>7</v>
      </c>
      <c r="M624" s="601">
        <v>46133</v>
      </c>
      <c r="N624" s="467">
        <f>=M624-I624</f>
        <v>20</v>
      </c>
      <c r="O624" s="127">
        <f>=IF(M624="",TODAY()-J624,M624-J624)</f>
        <v>13</v>
      </c>
      <c r="P624" s="131" t="s">
        <f>=IF(O624&gt;0,"逾期","正常")</f>
        <v>21</v>
      </c>
      <c r="Q624" s="623" t="s">
        <v>518</v>
      </c>
      <c r="R624" s="624" t="s"/>
    </row>
    <row r="625" spans="1:18" s="57" customFormat="1">
      <c r="A625" s="617" t="s"/>
      <c r="B625" s="618" t="s"/>
      <c r="C625" s="619" t="s"/>
      <c r="D625" s="757" t="s">
        <v>46</v>
      </c>
      <c r="E625" s="621" t="s">
        <v>34</v>
      </c>
      <c r="F625" s="627">
        <f>=IF(M623="",TODAY()-F622,M623-F622)</f>
        <v>28</v>
      </c>
      <c r="G625" s="625" t="s">
        <v>35</v>
      </c>
      <c r="H625" s="625" t="s">
        <v>402</v>
      </c>
      <c r="I625" s="601">
        <f>=M624</f>
        <v>46133</v>
      </c>
      <c r="J625" s="601">
        <f>=I625+L625</f>
        <v>46139</v>
      </c>
      <c r="K625" s="601">
        <f>=J625</f>
        <v>46139</v>
      </c>
      <c r="L625" s="625">
        <v>6</v>
      </c>
      <c r="M625" s="601">
        <v>46141</v>
      </c>
      <c r="N625" s="467">
        <f>=M625-I625</f>
        <v>8</v>
      </c>
      <c r="O625" s="127">
        <f>=IF(M625="",TODAY()-J625,M625-J625)</f>
        <v>2</v>
      </c>
      <c r="P625" s="131" t="s">
        <f>=IF(O625&gt;0,"逾期","正常")</f>
        <v>21</v>
      </c>
      <c r="Q625" s="623" t="s"/>
      <c r="R625" s="624" t="s"/>
    </row>
    <row r="626" spans="1:18" s="57" customFormat="1">
      <c r="A626" s="631" t="s"/>
      <c r="B626" s="632" t="s"/>
      <c r="C626" s="633" t="s"/>
      <c r="D626" s="634" t="s">
        <v>36</v>
      </c>
      <c r="E626" s="634" t="s">
        <v>37</v>
      </c>
      <c r="F626" s="557">
        <v>0.9</v>
      </c>
      <c r="G626" s="666" t="s">
        <v>38</v>
      </c>
      <c r="H626" s="667" t="s">
        <f>=D623</f>
        <v>72</v>
      </c>
      <c r="I626" s="668">
        <f>=M625</f>
        <v>46141</v>
      </c>
      <c r="J626" s="668">
        <f>=I626+L626</f>
        <v>46231</v>
      </c>
      <c r="K626" s="668">
        <f>=J626</f>
        <v>46231</v>
      </c>
      <c r="L626" s="669">
        <v>90</v>
      </c>
      <c r="M626" s="668" t="s"/>
      <c r="N626" s="639" t="s"/>
      <c r="O626" s="127">
        <f>=IF(M626="",TODAY()-J626,M626-J626)</f>
        <v>-89</v>
      </c>
      <c r="P626" s="433" t="s">
        <f>=IF(O626&gt;0,"逾期","正常")</f>
        <v>32</v>
      </c>
      <c r="Q626" s="640" t="s"/>
      <c r="R626" s="641" t="s"/>
    </row>
    <row r="627" spans="1:18" s="57" customFormat="1">
      <c r="A627" s="606" t="s">
        <v>538</v>
      </c>
      <c r="B627" s="607" t="s">
        <v>15</v>
      </c>
      <c r="C627" s="608" t="s">
        <v>89</v>
      </c>
      <c r="D627" s="609" t="s">
        <v>17</v>
      </c>
      <c r="E627" s="609" t="s">
        <v>18</v>
      </c>
      <c r="F627" s="599">
        <v>46090</v>
      </c>
      <c r="G627" s="610" t="s">
        <v>19</v>
      </c>
      <c r="H627" s="611" t="s">
        <v>63</v>
      </c>
      <c r="I627" s="612">
        <f>=F627</f>
        <v>46090</v>
      </c>
      <c r="J627" s="599">
        <v>46110</v>
      </c>
      <c r="K627" s="599">
        <v>46105</v>
      </c>
      <c r="L627" s="613">
        <f>=J627-I627</f>
        <v>20</v>
      </c>
      <c r="M627" s="599">
        <v>46128</v>
      </c>
      <c r="N627" s="598">
        <f>=M627-I627</f>
        <v>38</v>
      </c>
      <c r="O627" s="655">
        <f>=IF(M627="",TODAY()-J627,M627-J627)</f>
        <v>18</v>
      </c>
      <c r="P627" s="131" t="s">
        <f>=IF(O627&gt;0,"逾期","正常")</f>
        <v>21</v>
      </c>
      <c r="Q627" s="615" t="s">
        <v>539</v>
      </c>
      <c r="R627" s="616" t="s"/>
    </row>
    <row r="628" spans="1:18" s="57" customFormat="1">
      <c r="A628" s="617" t="s"/>
      <c r="B628" s="618" t="s"/>
      <c r="C628" s="619" t="s"/>
      <c r="D628" s="620" t="s">
        <v>65</v>
      </c>
      <c r="E628" s="621" t="s">
        <v>23</v>
      </c>
      <c r="F628" s="622">
        <f>=F629-F627</f>
        <v>45</v>
      </c>
      <c r="G628" s="772" t="s">
        <v>24</v>
      </c>
      <c r="H628" s="772" t="s">
        <v>50</v>
      </c>
      <c r="I628" s="166">
        <f>=M627</f>
        <v>46128</v>
      </c>
      <c r="J628" s="166">
        <f>=F629</f>
        <v>46135</v>
      </c>
      <c r="K628" s="166">
        <f>=J628</f>
        <v>46135</v>
      </c>
      <c r="L628" s="774">
        <f>=J628-I628</f>
        <v>7</v>
      </c>
      <c r="M628" s="564" t="s"/>
      <c r="N628" s="467" t="s"/>
      <c r="O628" s="127">
        <f>=IF(M628="",TODAY()-J628,M628-J628)</f>
        <v>15</v>
      </c>
      <c r="P628" s="131" t="s">
        <f>=IF(O628&gt;0,"逾期","正常")</f>
        <v>21</v>
      </c>
      <c r="Q628" s="623" t="s">
        <v>540</v>
      </c>
      <c r="R628" s="624" t="s"/>
    </row>
    <row r="629" spans="1:18" s="57" customFormat="1">
      <c r="A629" s="617" t="s"/>
      <c r="B629" s="618" t="s"/>
      <c r="C629" s="619" t="s"/>
      <c r="D629" s="621" t="s">
        <v>28</v>
      </c>
      <c r="E629" s="621" t="s">
        <v>29</v>
      </c>
      <c r="F629" s="601">
        <v>46135</v>
      </c>
      <c r="G629" s="630" t="s">
        <v>30</v>
      </c>
      <c r="H629" s="630" t="s">
        <v>31</v>
      </c>
      <c r="I629" s="651" t="s"/>
      <c r="J629" s="651" t="s"/>
      <c r="K629" s="651" t="s"/>
      <c r="L629" s="625">
        <v>7</v>
      </c>
      <c r="M629" s="651" t="s"/>
      <c r="N629" s="653" t="s"/>
      <c r="O629" s="630" t="s"/>
      <c r="P629" s="131" t="s">
        <f>=IF(O629&gt;0,"逾期","正常")</f>
        <v>32</v>
      </c>
      <c r="Q629" s="623" t="s"/>
      <c r="R629" s="624" t="s"/>
    </row>
    <row r="630" spans="1:18" s="57" customFormat="1">
      <c r="A630" s="617" t="s"/>
      <c r="B630" s="618" t="s"/>
      <c r="C630" s="619" t="s"/>
      <c r="D630" s="757" t="s">
        <v>33</v>
      </c>
      <c r="E630" s="621" t="s">
        <v>34</v>
      </c>
      <c r="F630" s="627">
        <f>=IF(M628="",TODAY()-F627,M628-F627)</f>
        <v>60</v>
      </c>
      <c r="G630" s="630" t="s">
        <v>35</v>
      </c>
      <c r="H630" s="630" t="s"/>
      <c r="I630" s="651" t="s"/>
      <c r="J630" s="651" t="s"/>
      <c r="K630" s="651" t="s"/>
      <c r="L630" s="630" t="s"/>
      <c r="M630" s="651" t="s"/>
      <c r="N630" s="630" t="s"/>
      <c r="O630" s="630" t="s"/>
      <c r="P630" s="131" t="s">
        <f>=IF(O630&gt;0,"逾期","正常")</f>
        <v>32</v>
      </c>
      <c r="Q630" s="623" t="s"/>
      <c r="R630" s="624" t="s"/>
    </row>
    <row r="631" spans="1:18" s="57" customFormat="1">
      <c r="A631" s="631" t="s"/>
      <c r="B631" s="632" t="s"/>
      <c r="C631" s="633" t="s"/>
      <c r="D631" s="634" t="s">
        <v>36</v>
      </c>
      <c r="E631" s="634" t="s">
        <v>37</v>
      </c>
      <c r="F631" s="557">
        <v>0</v>
      </c>
      <c r="G631" s="636" t="s">
        <v>38</v>
      </c>
      <c r="H631" s="637" t="s">
        <f>=D628</f>
        <v>65</v>
      </c>
      <c r="I631" s="604" t="s"/>
      <c r="J631" s="604" t="s"/>
      <c r="K631" s="604" t="s"/>
      <c r="L631" s="638">
        <v>90</v>
      </c>
      <c r="M631" s="604" t="s"/>
      <c r="N631" s="639" t="s"/>
      <c r="O631" s="638" t="s"/>
      <c r="P631" s="433" t="s">
        <f>=IF(O631&gt;0,"逾期","正常")</f>
        <v>32</v>
      </c>
      <c r="Q631" s="640" t="s"/>
      <c r="R631" s="641" t="s"/>
    </row>
    <row r="632" spans="1:18" s="57" customFormat="1">
      <c r="A632" s="606" t="s">
        <v>541</v>
      </c>
      <c r="B632" s="607" t="s">
        <v>32</v>
      </c>
      <c r="C632" s="608" t="s">
        <v>89</v>
      </c>
      <c r="D632" s="609" t="s">
        <v>17</v>
      </c>
      <c r="E632" s="609" t="s">
        <v>18</v>
      </c>
      <c r="F632" s="599">
        <v>46090</v>
      </c>
      <c r="G632" s="610" t="s">
        <v>19</v>
      </c>
      <c r="H632" s="611" t="s">
        <v>309</v>
      </c>
      <c r="I632" s="612">
        <f>=F632</f>
        <v>46090</v>
      </c>
      <c r="J632" s="599">
        <v>46105</v>
      </c>
      <c r="K632" s="599">
        <v>46102</v>
      </c>
      <c r="L632" s="613">
        <f>=J632-I632</f>
        <v>15</v>
      </c>
      <c r="M632" s="599">
        <v>46104</v>
      </c>
      <c r="N632" s="598">
        <f>=M632-I632</f>
        <v>14</v>
      </c>
      <c r="O632" s="655">
        <f>=IF(M632="",TODAY()-J632,M632-J632)</f>
        <v>-1</v>
      </c>
      <c r="P632" s="131" t="s">
        <f>=IF(O632&gt;0,"逾期","正常")</f>
        <v>32</v>
      </c>
      <c r="Q632" s="615" t="s"/>
      <c r="R632" s="616" t="s"/>
    </row>
    <row r="633" spans="1:18" s="57" customFormat="1">
      <c r="A633" s="617" t="s"/>
      <c r="B633" s="618" t="s"/>
      <c r="C633" s="619" t="s"/>
      <c r="D633" s="620" t="s">
        <v>227</v>
      </c>
      <c r="E633" s="621" t="s">
        <v>23</v>
      </c>
      <c r="F633" s="622">
        <f>=F634-F632</f>
        <v>30</v>
      </c>
      <c r="G633" s="479" t="s">
        <v>24</v>
      </c>
      <c r="H633" s="479" t="s">
        <v>50</v>
      </c>
      <c r="I633" s="134">
        <f>=M632</f>
        <v>46104</v>
      </c>
      <c r="J633" s="134">
        <f>=F634</f>
        <v>46120</v>
      </c>
      <c r="K633" s="134">
        <f>=J633</f>
        <v>46120</v>
      </c>
      <c r="L633" s="492">
        <f>=J633-I633</f>
        <v>16</v>
      </c>
      <c r="M633" s="406">
        <v>46122</v>
      </c>
      <c r="N633" s="467">
        <f>=M633-I633</f>
        <v>18</v>
      </c>
      <c r="O633" s="127">
        <f>=IF(M633="",TODAY()-J633,M633-J633)</f>
        <v>2</v>
      </c>
      <c r="P633" s="131" t="s">
        <f>=IF(O633&gt;0,"逾期","正常")</f>
        <v>21</v>
      </c>
      <c r="Q633" s="623" t="s"/>
      <c r="R633" s="624" t="s"/>
    </row>
    <row r="634" spans="1:18" s="57" customFormat="1">
      <c r="A634" s="617" t="s"/>
      <c r="B634" s="618" t="s"/>
      <c r="C634" s="619" t="s"/>
      <c r="D634" s="621" t="s">
        <v>28</v>
      </c>
      <c r="E634" s="621" t="s">
        <v>29</v>
      </c>
      <c r="F634" s="601">
        <v>46120</v>
      </c>
      <c r="G634" s="625" t="s">
        <v>30</v>
      </c>
      <c r="H634" s="625" t="s">
        <v>31</v>
      </c>
      <c r="I634" s="601">
        <f>=M633</f>
        <v>46122</v>
      </c>
      <c r="J634" s="601">
        <f>=I634+L634</f>
        <v>46129</v>
      </c>
      <c r="K634" s="601">
        <f>=J634</f>
        <v>46129</v>
      </c>
      <c r="L634" s="625">
        <v>7</v>
      </c>
      <c r="M634" s="601">
        <v>46126</v>
      </c>
      <c r="N634" s="467">
        <f>=M634-I634</f>
        <v>4</v>
      </c>
      <c r="O634" s="127">
        <f>=IF(M634="",TODAY()-J634,M634-J634)</f>
        <v>-3</v>
      </c>
      <c r="P634" s="131" t="s">
        <f>=IF(O634&gt;0,"逾期","正常")</f>
        <v>32</v>
      </c>
      <c r="Q634" s="623" t="s"/>
      <c r="R634" s="624" t="s"/>
    </row>
    <row r="635" spans="1:18" s="57" customFormat="1">
      <c r="A635" s="617" t="s"/>
      <c r="B635" s="618" t="s"/>
      <c r="C635" s="619" t="s"/>
      <c r="D635" s="626" t="s">
        <v>46</v>
      </c>
      <c r="E635" s="621" t="s">
        <v>34</v>
      </c>
      <c r="F635" s="627">
        <f>=IF(M633="",TODAY()-F632,M633-F632)</f>
        <v>32</v>
      </c>
      <c r="G635" s="625" t="s">
        <v>35</v>
      </c>
      <c r="H635" s="625" t="s">
        <v>143</v>
      </c>
      <c r="I635" s="601">
        <f>=M634</f>
        <v>46126</v>
      </c>
      <c r="J635" s="601">
        <f>=I635+L635</f>
        <v>46129</v>
      </c>
      <c r="K635" s="601">
        <f>=J635</f>
        <v>46129</v>
      </c>
      <c r="L635" s="625">
        <v>3</v>
      </c>
      <c r="M635" s="601">
        <v>46127</v>
      </c>
      <c r="N635" s="403">
        <f>=M635-I635</f>
        <v>1</v>
      </c>
      <c r="O635" s="127">
        <f>=IF(M635="",TODAY()-J635,M635-J635)</f>
        <v>-2</v>
      </c>
      <c r="P635" s="131" t="s">
        <f>=IF(O635&gt;0,"逾期","正常")</f>
        <v>32</v>
      </c>
      <c r="Q635" s="623" t="s"/>
      <c r="R635" s="624" t="s"/>
    </row>
    <row r="636" spans="1:18" s="57" customFormat="1">
      <c r="A636" s="631" t="s"/>
      <c r="B636" s="632" t="s"/>
      <c r="C636" s="633" t="s"/>
      <c r="D636" s="634" t="s">
        <v>36</v>
      </c>
      <c r="E636" s="634" t="s">
        <v>37</v>
      </c>
      <c r="F636" s="557">
        <v>0.89</v>
      </c>
      <c r="G636" s="666" t="s">
        <v>38</v>
      </c>
      <c r="H636" s="667" t="s">
        <f>=D633</f>
        <v>227</v>
      </c>
      <c r="I636" s="668">
        <f>=M635</f>
        <v>46127</v>
      </c>
      <c r="J636" s="668">
        <f>=I636+L636</f>
        <v>46217</v>
      </c>
      <c r="K636" s="668">
        <f>=J636</f>
        <v>46217</v>
      </c>
      <c r="L636" s="669">
        <v>90</v>
      </c>
      <c r="M636" s="668" t="s"/>
      <c r="N636" s="639" t="s"/>
      <c r="O636" s="127">
        <f>=IF(M636="",TODAY()-J636,M636-J636)</f>
        <v>-75</v>
      </c>
      <c r="P636" s="433" t="s">
        <f>=IF(O636&gt;0,"逾期","正常")</f>
        <v>32</v>
      </c>
      <c r="Q636" s="640" t="s"/>
      <c r="R636" s="641" t="s"/>
    </row>
    <row r="637" spans="1:18" s="57" customFormat="1">
      <c r="A637" s="606" t="s">
        <v>542</v>
      </c>
      <c r="B637" s="607" t="s">
        <v>32</v>
      </c>
      <c r="C637" s="608" t="s">
        <v>108</v>
      </c>
      <c r="D637" s="609" t="s">
        <v>17</v>
      </c>
      <c r="E637" s="609" t="s">
        <v>18</v>
      </c>
      <c r="F637" s="599">
        <v>46091</v>
      </c>
      <c r="G637" s="610" t="s">
        <v>19</v>
      </c>
      <c r="H637" s="611" t="s">
        <v>63</v>
      </c>
      <c r="I637" s="612">
        <f>=F637</f>
        <v>46091</v>
      </c>
      <c r="J637" s="599">
        <v>46101</v>
      </c>
      <c r="K637" s="599">
        <v>46099</v>
      </c>
      <c r="L637" s="613">
        <f>=J637-I637</f>
        <v>10</v>
      </c>
      <c r="M637" s="599">
        <v>46101</v>
      </c>
      <c r="N637" s="598">
        <f>=M637-I637</f>
        <v>10</v>
      </c>
      <c r="O637" s="655">
        <f>=IF(M637="",TODAY()-J637,M637-J637)</f>
        <v>0</v>
      </c>
      <c r="P637" s="131" t="s">
        <f>=IF(O637&gt;0,"逾期","正常")</f>
        <v>32</v>
      </c>
      <c r="Q637" s="615" t="s">
        <v>543</v>
      </c>
      <c r="R637" s="616" t="s"/>
    </row>
    <row r="638" spans="1:18" s="57" customFormat="1">
      <c r="A638" s="617" t="s"/>
      <c r="B638" s="618" t="s"/>
      <c r="C638" s="619" t="s"/>
      <c r="D638" s="620" t="s">
        <v>72</v>
      </c>
      <c r="E638" s="621" t="s">
        <v>23</v>
      </c>
      <c r="F638" s="622">
        <f>=F639-F637</f>
        <v>25</v>
      </c>
      <c r="G638" s="479" t="s">
        <v>24</v>
      </c>
      <c r="H638" s="479" t="s">
        <v>50</v>
      </c>
      <c r="I638" s="134">
        <f>=M637</f>
        <v>46101</v>
      </c>
      <c r="J638" s="134">
        <f>=F639</f>
        <v>46116</v>
      </c>
      <c r="K638" s="134">
        <f>=J638</f>
        <v>46116</v>
      </c>
      <c r="L638" s="492">
        <f>=J638-I638</f>
        <v>15</v>
      </c>
      <c r="M638" s="406">
        <v>46126</v>
      </c>
      <c r="N638" s="467">
        <f>=M638-I638</f>
        <v>25</v>
      </c>
      <c r="O638" s="127">
        <f>=IF(M638="",TODAY()-J638,M638-J638)</f>
        <v>10</v>
      </c>
      <c r="P638" s="131" t="s">
        <f>=IF(O638&gt;0,"逾期","正常")</f>
        <v>21</v>
      </c>
      <c r="Q638" s="623" t="s">
        <v>544</v>
      </c>
      <c r="R638" s="624" t="s"/>
    </row>
    <row r="639" spans="1:18" s="57" customFormat="1">
      <c r="A639" s="617" t="s"/>
      <c r="B639" s="618" t="s"/>
      <c r="C639" s="619" t="s"/>
      <c r="D639" s="621" t="s">
        <v>28</v>
      </c>
      <c r="E639" s="621" t="s">
        <v>29</v>
      </c>
      <c r="F639" s="601">
        <v>46116</v>
      </c>
      <c r="G639" s="625" t="s">
        <v>30</v>
      </c>
      <c r="H639" s="625" t="s">
        <v>31</v>
      </c>
      <c r="I639" s="601">
        <f>=M638</f>
        <v>46126</v>
      </c>
      <c r="J639" s="601">
        <f>=I639+L639</f>
        <v>46133</v>
      </c>
      <c r="K639" s="601">
        <f>=J639</f>
        <v>46133</v>
      </c>
      <c r="L639" s="625">
        <v>7</v>
      </c>
      <c r="M639" s="454">
        <v>46128</v>
      </c>
      <c r="N639" s="467">
        <f>=M639-I639</f>
        <v>2</v>
      </c>
      <c r="O639" s="127">
        <f>=IF(M640="",TODAY()-J639,M640-J639)</f>
        <v>17</v>
      </c>
      <c r="P639" s="131" t="s">
        <f>=IF(O639&gt;0,"逾期","正常")</f>
        <v>21</v>
      </c>
      <c r="Q639" s="623" t="s"/>
      <c r="R639" s="624" t="s"/>
    </row>
    <row r="640" spans="1:18" s="57" customFormat="1">
      <c r="A640" s="617" t="s"/>
      <c r="B640" s="618" t="s"/>
      <c r="C640" s="619" t="s"/>
      <c r="D640" s="626" t="s">
        <v>33</v>
      </c>
      <c r="E640" s="621" t="s">
        <v>34</v>
      </c>
      <c r="F640" s="627">
        <f>=IF(M638="",TODAY()-F637,M638-F637)</f>
        <v>35</v>
      </c>
      <c r="G640" s="682" t="s">
        <v>35</v>
      </c>
      <c r="H640" s="682" t="s">
        <v>143</v>
      </c>
      <c r="I640" s="684">
        <f>=M639</f>
        <v>46128</v>
      </c>
      <c r="J640" s="684">
        <f>=I640+L640</f>
        <v>46148</v>
      </c>
      <c r="K640" s="684">
        <f>=J640</f>
        <v>46148</v>
      </c>
      <c r="L640" s="682">
        <v>20</v>
      </c>
      <c r="M640" s="684" t="s"/>
      <c r="N640" s="630" t="s"/>
      <c r="O640" s="127">
        <f>=IF(M640="",TODAY()-J640,M640-J640)</f>
        <v>2</v>
      </c>
      <c r="P640" s="131" t="s">
        <f>=IF(O640&gt;0,"逾期","正常")</f>
        <v>21</v>
      </c>
      <c r="Q640" s="623" t="s">
        <v>545</v>
      </c>
      <c r="R640" s="624" t="s"/>
    </row>
    <row r="641" spans="1:18" s="57" customFormat="1">
      <c r="A641" s="631" t="s"/>
      <c r="B641" s="632" t="s"/>
      <c r="C641" s="633" t="s"/>
      <c r="D641" s="634" t="s">
        <v>36</v>
      </c>
      <c r="E641" s="634" t="s">
        <v>37</v>
      </c>
      <c r="F641" s="557">
        <v>0.3</v>
      </c>
      <c r="G641" s="636" t="s">
        <v>38</v>
      </c>
      <c r="H641" s="637" t="s">
        <f>=D638</f>
        <v>72</v>
      </c>
      <c r="I641" s="604" t="s"/>
      <c r="J641" s="604" t="s"/>
      <c r="K641" s="604" t="s"/>
      <c r="L641" s="638">
        <v>90</v>
      </c>
      <c r="M641" s="604" t="s"/>
      <c r="N641" s="639" t="s"/>
      <c r="O641" s="638" t="s"/>
      <c r="P641" s="433" t="s">
        <f>=IF(O641&gt;0,"逾期","正常")</f>
        <v>32</v>
      </c>
      <c r="Q641" s="640" t="s"/>
      <c r="R641" s="641" t="s"/>
    </row>
    <row r="642" spans="1:18" s="57" customFormat="1">
      <c r="A642" s="606" t="s">
        <v>546</v>
      </c>
      <c r="B642" s="607" t="s">
        <v>32</v>
      </c>
      <c r="C642" s="608" t="s">
        <v>184</v>
      </c>
      <c r="D642" s="609" t="s">
        <v>17</v>
      </c>
      <c r="E642" s="609" t="s">
        <v>18</v>
      </c>
      <c r="F642" s="599">
        <v>46091</v>
      </c>
      <c r="G642" s="610" t="s">
        <v>19</v>
      </c>
      <c r="H642" s="611" t="s">
        <v>63</v>
      </c>
      <c r="I642" s="612">
        <f>=F642</f>
        <v>46091</v>
      </c>
      <c r="J642" s="599">
        <v>46101</v>
      </c>
      <c r="K642" s="599">
        <v>46099</v>
      </c>
      <c r="L642" s="613">
        <f>=J642-I642</f>
        <v>10</v>
      </c>
      <c r="M642" s="599">
        <v>46101</v>
      </c>
      <c r="N642" s="598">
        <f>=M642-I642</f>
        <v>10</v>
      </c>
      <c r="O642" s="655">
        <f>=IF(M642="",TODAY()-J642,M642-J642)</f>
        <v>0</v>
      </c>
      <c r="P642" s="131" t="s">
        <f>=IF(O642&gt;0,"逾期","正常")</f>
        <v>32</v>
      </c>
      <c r="Q642" s="615" t="s">
        <v>543</v>
      </c>
      <c r="R642" s="616" t="s"/>
    </row>
    <row r="643" spans="1:18" s="57" customFormat="1">
      <c r="A643" s="617" t="s"/>
      <c r="B643" s="618" t="s"/>
      <c r="C643" s="619" t="s"/>
      <c r="D643" s="620" t="s">
        <v>72</v>
      </c>
      <c r="E643" s="621" t="s">
        <v>23</v>
      </c>
      <c r="F643" s="622">
        <f>=F644-F642</f>
        <v>25</v>
      </c>
      <c r="G643" s="479" t="s">
        <v>24</v>
      </c>
      <c r="H643" s="479" t="s">
        <v>50</v>
      </c>
      <c r="I643" s="134">
        <f>=M642</f>
        <v>46101</v>
      </c>
      <c r="J643" s="134">
        <f>=F644</f>
        <v>46116</v>
      </c>
      <c r="K643" s="134">
        <f>=J643</f>
        <v>46116</v>
      </c>
      <c r="L643" s="492">
        <f>=J643-I643</f>
        <v>15</v>
      </c>
      <c r="M643" s="406">
        <v>46126</v>
      </c>
      <c r="N643" s="467">
        <f>=M643-I643</f>
        <v>25</v>
      </c>
      <c r="O643" s="127">
        <f>=IF(M643="",TODAY()-J643,M643-J643)</f>
        <v>10</v>
      </c>
      <c r="P643" s="131" t="s">
        <f>=IF(O643&gt;0,"逾期","正常")</f>
        <v>21</v>
      </c>
      <c r="Q643" s="623" t="s">
        <v>544</v>
      </c>
      <c r="R643" s="624" t="s"/>
    </row>
    <row r="644" spans="1:18" s="57" customFormat="1">
      <c r="A644" s="617" t="s"/>
      <c r="B644" s="618" t="s"/>
      <c r="C644" s="619" t="s"/>
      <c r="D644" s="621" t="s">
        <v>28</v>
      </c>
      <c r="E644" s="621" t="s">
        <v>29</v>
      </c>
      <c r="F644" s="601">
        <v>46116</v>
      </c>
      <c r="G644" s="625" t="s">
        <v>30</v>
      </c>
      <c r="H644" s="625" t="s">
        <v>31</v>
      </c>
      <c r="I644" s="601">
        <f>=M643</f>
        <v>46126</v>
      </c>
      <c r="J644" s="601">
        <f>=I644+L644</f>
        <v>46133</v>
      </c>
      <c r="K644" s="601">
        <f>=J644</f>
        <v>46133</v>
      </c>
      <c r="L644" s="625">
        <v>7</v>
      </c>
      <c r="M644" s="406">
        <v>46128</v>
      </c>
      <c r="N644" s="467">
        <f>=M644-I644</f>
        <v>2</v>
      </c>
      <c r="O644" s="127">
        <f>=IF(M644="",TODAY()-J644,M644-J644)</f>
        <v>-5</v>
      </c>
      <c r="P644" s="131" t="s">
        <f>=IF(O644&gt;0,"逾期","正常")</f>
        <v>32</v>
      </c>
      <c r="Q644" s="623" t="s"/>
      <c r="R644" s="624" t="s"/>
    </row>
    <row r="645" spans="1:18" s="57" customFormat="1">
      <c r="A645" s="617" t="s"/>
      <c r="B645" s="618" t="s"/>
      <c r="C645" s="619" t="s"/>
      <c r="D645" s="626" t="s">
        <v>33</v>
      </c>
      <c r="E645" s="621" t="s">
        <v>34</v>
      </c>
      <c r="F645" s="627">
        <f>=IF(M643="",TODAY()-F642,M643-F642)</f>
        <v>35</v>
      </c>
      <c r="G645" s="682" t="s">
        <v>35</v>
      </c>
      <c r="H645" s="682" t="s">
        <v>143</v>
      </c>
      <c r="I645" s="684">
        <f>=M644</f>
        <v>46128</v>
      </c>
      <c r="J645" s="684">
        <f>=I645+L645</f>
        <v>46148</v>
      </c>
      <c r="K645" s="684">
        <f>=J645</f>
        <v>46148</v>
      </c>
      <c r="L645" s="682">
        <v>20</v>
      </c>
      <c r="M645" s="684" t="s"/>
      <c r="N645" s="630" t="s"/>
      <c r="O645" s="127">
        <f>=IF(M645="",TODAY()-J645,M645-J645)</f>
        <v>2</v>
      </c>
      <c r="P645" s="131" t="s">
        <f>=IF(O645&gt;0,"逾期","正常")</f>
        <v>21</v>
      </c>
      <c r="Q645" s="623" t="s">
        <v>547</v>
      </c>
      <c r="R645" s="624" t="s"/>
    </row>
    <row r="646" spans="1:18" s="57" customFormat="1">
      <c r="A646" s="631" t="s"/>
      <c r="B646" s="632" t="s"/>
      <c r="C646" s="633" t="s"/>
      <c r="D646" s="634" t="s">
        <v>36</v>
      </c>
      <c r="E646" s="634" t="s">
        <v>37</v>
      </c>
      <c r="F646" s="557">
        <v>0.3</v>
      </c>
      <c r="G646" s="636" t="s">
        <v>38</v>
      </c>
      <c r="H646" s="637" t="s">
        <f>=D643</f>
        <v>72</v>
      </c>
      <c r="I646" s="604" t="s"/>
      <c r="J646" s="604" t="s"/>
      <c r="K646" s="604" t="s"/>
      <c r="L646" s="638">
        <v>90</v>
      </c>
      <c r="M646" s="604" t="s"/>
      <c r="N646" s="639" t="s"/>
      <c r="O646" s="638" t="s"/>
      <c r="P646" s="433" t="s">
        <f>=IF(O646&gt;0,"逾期","正常")</f>
        <v>32</v>
      </c>
      <c r="Q646" s="640" t="s"/>
      <c r="R646" s="641" t="s"/>
    </row>
    <row r="647" spans="1:18" s="57" customFormat="1">
      <c r="A647" s="606" t="s">
        <v>548</v>
      </c>
      <c r="B647" s="607" t="s">
        <v>32</v>
      </c>
      <c r="C647" s="608" t="s">
        <v>48</v>
      </c>
      <c r="D647" s="609" t="s">
        <v>17</v>
      </c>
      <c r="E647" s="609" t="s">
        <v>18</v>
      </c>
      <c r="F647" s="599">
        <v>46091</v>
      </c>
      <c r="G647" s="610" t="s">
        <v>19</v>
      </c>
      <c r="H647" s="611" t="s">
        <v>49</v>
      </c>
      <c r="I647" s="612">
        <f>=F647</f>
        <v>46091</v>
      </c>
      <c r="J647" s="599">
        <v>46101</v>
      </c>
      <c r="K647" s="599">
        <v>46099</v>
      </c>
      <c r="L647" s="613">
        <f>=J647-I647</f>
        <v>10</v>
      </c>
      <c r="M647" s="599">
        <v>46099</v>
      </c>
      <c r="N647" s="598">
        <f>=M647-I647</f>
        <v>8</v>
      </c>
      <c r="O647" s="655">
        <f>=IF(M647="",TODAY()-J647,M647-J647)</f>
        <v>-2</v>
      </c>
      <c r="P647" s="131" t="s">
        <f>=IF(O647&gt;0,"逾期","正常")</f>
        <v>32</v>
      </c>
      <c r="Q647" s="615" t="s">
        <v>549</v>
      </c>
      <c r="R647" s="616" t="s"/>
    </row>
    <row r="648" spans="1:18" s="57" customFormat="1">
      <c r="A648" s="617" t="s"/>
      <c r="B648" s="618" t="s"/>
      <c r="C648" s="619" t="s"/>
      <c r="D648" s="620" t="s">
        <v>42</v>
      </c>
      <c r="E648" s="621" t="s">
        <v>23</v>
      </c>
      <c r="F648" s="622">
        <f>=F649-F647</f>
        <v>20</v>
      </c>
      <c r="G648" s="479" t="s">
        <v>24</v>
      </c>
      <c r="H648" s="479" t="s">
        <v>50</v>
      </c>
      <c r="I648" s="134">
        <f>=M647</f>
        <v>46099</v>
      </c>
      <c r="J648" s="134">
        <f>=F649</f>
        <v>46111</v>
      </c>
      <c r="K648" s="134">
        <f>=J648</f>
        <v>46111</v>
      </c>
      <c r="L648" s="492">
        <f>=J648-I648</f>
        <v>12</v>
      </c>
      <c r="M648" s="406">
        <v>46116</v>
      </c>
      <c r="N648" s="403">
        <f>=M648-I648</f>
        <v>17</v>
      </c>
      <c r="O648" s="127">
        <f>=IF(M648="",TODAY()-J648,M648-J648)</f>
        <v>5</v>
      </c>
      <c r="P648" s="131" t="s">
        <f>=IF(O648&gt;0,"逾期","正常")</f>
        <v>21</v>
      </c>
      <c r="Q648" s="623" t="s">
        <v>550</v>
      </c>
      <c r="R648" s="624" t="s"/>
    </row>
    <row r="649" spans="1:18" s="57" customFormat="1">
      <c r="A649" s="617" t="s"/>
      <c r="B649" s="618" t="s"/>
      <c r="C649" s="619" t="s"/>
      <c r="D649" s="621" t="s">
        <v>28</v>
      </c>
      <c r="E649" s="621" t="s">
        <v>29</v>
      </c>
      <c r="F649" s="601">
        <v>46111</v>
      </c>
      <c r="G649" s="630" t="s">
        <v>30</v>
      </c>
      <c r="H649" s="630" t="s">
        <v>31</v>
      </c>
      <c r="I649" s="651">
        <f>=M648</f>
        <v>46116</v>
      </c>
      <c r="J649" s="651">
        <f>=I649+L649</f>
        <v>46123</v>
      </c>
      <c r="K649" s="651">
        <f>=J649</f>
        <v>46123</v>
      </c>
      <c r="L649" s="625">
        <v>7</v>
      </c>
      <c r="M649" s="651">
        <v>46121</v>
      </c>
      <c r="N649" s="403">
        <f>=M649-I649</f>
        <v>5</v>
      </c>
      <c r="O649" s="127">
        <f>=IF(M649="",TODAY()-J649,M649-J649)</f>
        <v>-2</v>
      </c>
      <c r="P649" s="131" t="s">
        <f>=IF(O649&gt;0,"逾期","正常")</f>
        <v>32</v>
      </c>
      <c r="Q649" s="623" t="s"/>
      <c r="R649" s="624" t="s"/>
    </row>
    <row r="650" spans="1:18" s="57" customFormat="1">
      <c r="A650" s="617" t="s"/>
      <c r="B650" s="618" t="s"/>
      <c r="C650" s="619" t="s"/>
      <c r="D650" s="626" t="s">
        <v>46</v>
      </c>
      <c r="E650" s="621" t="s">
        <v>34</v>
      </c>
      <c r="F650" s="627">
        <f>=IF(M648="",TODAY()-F647,M648-F647)</f>
        <v>25</v>
      </c>
      <c r="G650" s="625" t="s">
        <v>35</v>
      </c>
      <c r="H650" s="625" t="s">
        <v>402</v>
      </c>
      <c r="I650" s="601">
        <f>=M649</f>
        <v>46121</v>
      </c>
      <c r="J650" s="601">
        <f>=I650+L650</f>
        <v>46126</v>
      </c>
      <c r="K650" s="601">
        <f>=J650</f>
        <v>46126</v>
      </c>
      <c r="L650" s="625">
        <v>5</v>
      </c>
      <c r="M650" s="601">
        <v>46126</v>
      </c>
      <c r="N650" s="403">
        <f>=M650-I650</f>
        <v>5</v>
      </c>
      <c r="O650" s="127">
        <f>=IF(M650="",TODAY()-J650,M650-J650)</f>
        <v>0</v>
      </c>
      <c r="P650" s="131" t="s">
        <f>=IF(O650&gt;0,"逾期","正常")</f>
        <v>32</v>
      </c>
      <c r="Q650" s="623" t="s"/>
      <c r="R650" s="624" t="s"/>
    </row>
    <row r="651" spans="1:18" s="57" customFormat="1">
      <c r="A651" s="631" t="s"/>
      <c r="B651" s="632" t="s"/>
      <c r="C651" s="633" t="s"/>
      <c r="D651" s="634" t="s">
        <v>36</v>
      </c>
      <c r="E651" s="634" t="s">
        <v>37</v>
      </c>
      <c r="F651" s="557">
        <v>0.9</v>
      </c>
      <c r="G651" s="666" t="s">
        <v>38</v>
      </c>
      <c r="H651" s="667" t="s">
        <f>=D648</f>
        <v>42</v>
      </c>
      <c r="I651" s="668">
        <f>=M650</f>
        <v>46126</v>
      </c>
      <c r="J651" s="668">
        <f>=I651+L651</f>
        <v>46216</v>
      </c>
      <c r="K651" s="668">
        <f>=J651</f>
        <v>46216</v>
      </c>
      <c r="L651" s="669">
        <v>90</v>
      </c>
      <c r="M651" s="668" t="s"/>
      <c r="N651" s="639" t="s"/>
      <c r="O651" s="127">
        <f>=IF(M651="",TODAY()-J651,M651-J651)</f>
        <v>-74</v>
      </c>
      <c r="P651" s="433" t="s">
        <f>=IF(O651&gt;0,"逾期","正常")</f>
        <v>32</v>
      </c>
      <c r="Q651" s="640" t="s"/>
      <c r="R651" s="641" t="s"/>
    </row>
    <row r="652" spans="1:18" s="57" customFormat="1">
      <c r="A652" s="606" t="s">
        <v>551</v>
      </c>
      <c r="B652" s="607" t="s">
        <v>32</v>
      </c>
      <c r="C652" s="608" t="s">
        <v>459</v>
      </c>
      <c r="D652" s="609" t="s">
        <v>17</v>
      </c>
      <c r="E652" s="609" t="s">
        <v>18</v>
      </c>
      <c r="F652" s="599">
        <v>46093</v>
      </c>
      <c r="G652" s="610" t="s">
        <v>19</v>
      </c>
      <c r="H652" s="611" t="s">
        <v>49</v>
      </c>
      <c r="I652" s="612">
        <f>=F652</f>
        <v>46093</v>
      </c>
      <c r="J652" s="599">
        <v>46113</v>
      </c>
      <c r="K652" s="599">
        <v>46111</v>
      </c>
      <c r="L652" s="613">
        <f>=J652-I652</f>
        <v>20</v>
      </c>
      <c r="M652" s="599">
        <v>46104</v>
      </c>
      <c r="N652" s="584">
        <f>=M652-I652</f>
        <v>11</v>
      </c>
      <c r="O652" s="655">
        <f>=IF(M652="",TODAY()-J652,M652-J652)</f>
        <v>-9</v>
      </c>
      <c r="P652" s="131" t="s">
        <f>=IF(O652&gt;0,"逾期","正常")</f>
        <v>32</v>
      </c>
      <c r="Q652" s="615" t="s">
        <v>552</v>
      </c>
      <c r="R652" s="616" t="s"/>
    </row>
    <row r="653" spans="1:18" s="57" customFormat="1">
      <c r="A653" s="617" t="s"/>
      <c r="B653" s="618" t="s"/>
      <c r="C653" s="619" t="s"/>
      <c r="D653" s="620" t="s">
        <v>72</v>
      </c>
      <c r="E653" s="621" t="s">
        <v>23</v>
      </c>
      <c r="F653" s="622">
        <f>=F654-F652</f>
        <v>45</v>
      </c>
      <c r="G653" s="479" t="s">
        <v>24</v>
      </c>
      <c r="H653" s="479" t="s">
        <v>50</v>
      </c>
      <c r="I653" s="134">
        <f>=M652</f>
        <v>46104</v>
      </c>
      <c r="J653" s="134">
        <f>=F654</f>
        <v>46138</v>
      </c>
      <c r="K653" s="134">
        <f>=J653</f>
        <v>46138</v>
      </c>
      <c r="L653" s="422">
        <f>=J653-I653</f>
        <v>34</v>
      </c>
      <c r="M653" s="406">
        <v>46136</v>
      </c>
      <c r="N653" s="403">
        <f>=M653-I653</f>
        <v>32</v>
      </c>
      <c r="O653" s="127">
        <f>=IF(M653="",TODAY()-J653,M653-J653)</f>
        <v>-2</v>
      </c>
      <c r="P653" s="131" t="s">
        <f>=IF(O653&gt;0,"逾期","正常")</f>
        <v>32</v>
      </c>
      <c r="Q653" s="623" t="s"/>
      <c r="R653" s="624" t="s"/>
    </row>
    <row r="654" spans="1:18" s="57" customFormat="1">
      <c r="A654" s="617" t="s"/>
      <c r="B654" s="618" t="s"/>
      <c r="C654" s="619" t="s"/>
      <c r="D654" s="621" t="s">
        <v>28</v>
      </c>
      <c r="E654" s="621" t="s">
        <v>29</v>
      </c>
      <c r="F654" s="601">
        <v>46138</v>
      </c>
      <c r="G654" s="625" t="s">
        <v>30</v>
      </c>
      <c r="H654" s="625" t="s">
        <v>31</v>
      </c>
      <c r="I654" s="601">
        <f>=M653</f>
        <v>46136</v>
      </c>
      <c r="J654" s="601">
        <f>=I654+L654</f>
        <v>46143</v>
      </c>
      <c r="K654" s="601">
        <f>=J654</f>
        <v>46143</v>
      </c>
      <c r="L654" s="625">
        <v>7</v>
      </c>
      <c r="M654" s="601">
        <v>46146</v>
      </c>
      <c r="N654" s="403">
        <f>=M654-I654</f>
        <v>10</v>
      </c>
      <c r="O654" s="127">
        <f>=IF(M654="",TODAY()-J654,M654-J654)</f>
        <v>3</v>
      </c>
      <c r="P654" s="131" t="s">
        <f>=IF(O654&gt;0,"逾期","正常")</f>
        <v>21</v>
      </c>
      <c r="Q654" s="623" t="s">
        <v>553</v>
      </c>
      <c r="R654" s="624" t="s"/>
    </row>
    <row r="655" spans="1:18" s="57" customFormat="1">
      <c r="A655" s="617" t="s"/>
      <c r="B655" s="618" t="s"/>
      <c r="C655" s="619" t="s"/>
      <c r="D655" s="626" t="s">
        <v>46</v>
      </c>
      <c r="E655" s="621" t="s">
        <v>34</v>
      </c>
      <c r="F655" s="627">
        <f>=IF(M653="",TODAY()-F652,M653-F652)</f>
        <v>43</v>
      </c>
      <c r="G655" s="625" t="s">
        <v>35</v>
      </c>
      <c r="H655" s="625" t="s">
        <v>423</v>
      </c>
      <c r="I655" s="601">
        <f>=M654</f>
        <v>46146</v>
      </c>
      <c r="J655" s="601">
        <f>=I655+L655</f>
        <v>46152</v>
      </c>
      <c r="K655" s="601">
        <f>=J655</f>
        <v>46152</v>
      </c>
      <c r="L655" s="625">
        <v>6</v>
      </c>
      <c r="M655" s="601">
        <v>46149</v>
      </c>
      <c r="N655" s="403">
        <f>=M655-I655</f>
        <v>3</v>
      </c>
      <c r="O655" s="127">
        <f>=IF(M655="",TODAY()-J655,M655-J655)</f>
        <v>-3</v>
      </c>
      <c r="P655" s="131" t="s">
        <f>=IF(O655&gt;0,"逾期","正常")</f>
        <v>32</v>
      </c>
      <c r="Q655" s="623" t="s"/>
      <c r="R655" s="624" t="s"/>
    </row>
    <row r="656" spans="1:18" s="57" customFormat="1">
      <c r="A656" s="631" t="s"/>
      <c r="B656" s="632" t="s"/>
      <c r="C656" s="633" t="s"/>
      <c r="D656" s="634" t="s">
        <v>36</v>
      </c>
      <c r="E656" s="634" t="s">
        <v>37</v>
      </c>
      <c r="F656" s="557">
        <v>0.5</v>
      </c>
      <c r="G656" s="666" t="s">
        <v>38</v>
      </c>
      <c r="H656" s="667" t="s">
        <f>=D653</f>
        <v>72</v>
      </c>
      <c r="I656" s="668">
        <f>=M655</f>
        <v>46149</v>
      </c>
      <c r="J656" s="668">
        <f>=I656+L656</f>
        <v>46239</v>
      </c>
      <c r="K656" s="668">
        <f>=J656</f>
        <v>46239</v>
      </c>
      <c r="L656" s="669">
        <v>90</v>
      </c>
      <c r="M656" s="668" t="s"/>
      <c r="N656" s="639" t="s"/>
      <c r="O656" s="127">
        <f>=IF(M656="",TODAY()-J656,M656-J656)</f>
        <v>-89</v>
      </c>
      <c r="P656" s="433" t="s">
        <f>=IF(O656&gt;0,"逾期","正常")</f>
        <v>32</v>
      </c>
      <c r="Q656" s="640" t="s"/>
      <c r="R656" s="641" t="s"/>
    </row>
    <row r="657" spans="1:18" s="57" customFormat="1">
      <c r="A657" s="510" t="s">
        <v>554</v>
      </c>
      <c r="B657" s="374" t="s">
        <v>32</v>
      </c>
      <c r="C657" s="375" t="s">
        <v>555</v>
      </c>
      <c r="D657" s="775" t="s">
        <v>17</v>
      </c>
      <c r="E657" s="690" t="s">
        <v>18</v>
      </c>
      <c r="F657" s="691">
        <v>46094</v>
      </c>
      <c r="G657" s="692" t="s">
        <v>19</v>
      </c>
      <c r="H657" s="692" t="s">
        <v>309</v>
      </c>
      <c r="I657" s="694">
        <f>=F657</f>
        <v>46094</v>
      </c>
      <c r="J657" s="694">
        <v>46124</v>
      </c>
      <c r="K657" s="694">
        <v>46119</v>
      </c>
      <c r="L657" s="513">
        <f>=J657-I657</f>
        <v>30</v>
      </c>
      <c r="M657" s="696">
        <v>46106</v>
      </c>
      <c r="N657" s="598">
        <f>=M657-I657</f>
        <v>12</v>
      </c>
      <c r="O657" s="776">
        <f>=IF(M657="",TODAY()-J657,M657-J657)</f>
        <v>-18</v>
      </c>
      <c r="P657" s="131" t="s">
        <f>=IF(O657&gt;0,"逾期","正常")</f>
        <v>32</v>
      </c>
      <c r="Q657" s="585" t="s">
        <v>556</v>
      </c>
      <c r="R657" s="574" t="s"/>
    </row>
    <row r="658" spans="1:18" s="57" customFormat="1">
      <c r="A658" s="373" t="s"/>
      <c r="B658" s="699" t="s"/>
      <c r="C658" s="375" t="s"/>
      <c r="D658" s="747" t="s"/>
      <c r="E658" s="517" t="s"/>
      <c r="F658" s="700" t="s"/>
      <c r="G658" s="421" t="s">
        <v>19</v>
      </c>
      <c r="H658" s="421" t="s">
        <v>557</v>
      </c>
      <c r="I658" s="134">
        <f>=F657</f>
        <v>46094</v>
      </c>
      <c r="J658" s="134">
        <v>46124</v>
      </c>
      <c r="K658" s="777">
        <v>46119</v>
      </c>
      <c r="L658" s="778">
        <f>=J658-I658</f>
        <v>30</v>
      </c>
      <c r="M658" s="406">
        <v>46128</v>
      </c>
      <c r="N658" s="403">
        <f>=M658-I658</f>
        <v>34</v>
      </c>
      <c r="O658" s="128">
        <f>=IF(M658="",TODAY()-J658,M658-J658)</f>
        <v>4</v>
      </c>
      <c r="P658" s="131" t="s">
        <f>=IF(O658&gt;0,"逾期","正常")</f>
        <v>21</v>
      </c>
      <c r="Q658" s="704" t="s">
        <v>558</v>
      </c>
      <c r="R658" s="705" t="s"/>
    </row>
    <row r="659" spans="1:18" s="57" customFormat="1">
      <c r="A659" s="551" t="s"/>
      <c r="B659" s="706" t="s"/>
      <c r="C659" s="553" t="s"/>
      <c r="D659" s="779" t="s">
        <v>72</v>
      </c>
      <c r="E659" s="528" t="s">
        <v>23</v>
      </c>
      <c r="F659" s="527">
        <f>=F660-F657</f>
        <v>60</v>
      </c>
      <c r="G659" s="780" t="s">
        <v>24</v>
      </c>
      <c r="H659" s="780" t="s">
        <v>50</v>
      </c>
      <c r="I659" s="781">
        <f>=M657</f>
        <v>46106</v>
      </c>
      <c r="J659" s="781">
        <f>=F660</f>
        <v>46154</v>
      </c>
      <c r="K659" s="781">
        <f>=J659</f>
        <v>46154</v>
      </c>
      <c r="L659" s="782">
        <f>=J659-I659</f>
        <v>48</v>
      </c>
      <c r="M659" s="473">
        <v>46133</v>
      </c>
      <c r="N659" s="403">
        <f>=M659-I659</f>
        <v>27</v>
      </c>
      <c r="O659" s="127">
        <f>=IF(M659="",TODAY()-J659,M659-J659)</f>
        <v>-21</v>
      </c>
      <c r="P659" s="131" t="s">
        <f>=IF(O659&gt;0,"逾期","正常")</f>
        <v>32</v>
      </c>
      <c r="Q659" s="576" t="s">
        <v>559</v>
      </c>
      <c r="R659" s="577" t="s"/>
    </row>
    <row r="660" spans="1:18" s="57" customFormat="1">
      <c r="A660" s="551" t="s"/>
      <c r="B660" s="706" t="s"/>
      <c r="C660" s="553" t="s"/>
      <c r="D660" s="783" t="s">
        <v>28</v>
      </c>
      <c r="E660" s="528" t="s">
        <v>29</v>
      </c>
      <c r="F660" s="398">
        <v>46154</v>
      </c>
      <c r="G660" s="392" t="s">
        <v>30</v>
      </c>
      <c r="H660" s="392" t="s">
        <v>31</v>
      </c>
      <c r="I660" s="400">
        <v>46133</v>
      </c>
      <c r="J660" s="400">
        <f>=I660+L660</f>
        <v>46140</v>
      </c>
      <c r="K660" s="400">
        <f>=J660</f>
        <v>46140</v>
      </c>
      <c r="L660" s="709">
        <v>7</v>
      </c>
      <c r="M660" s="394">
        <v>46133</v>
      </c>
      <c r="N660" s="403">
        <f>=M660-I660</f>
        <v>0</v>
      </c>
      <c r="O660" s="127">
        <f>=IF(M660="",TODAY()-J660,M660-J660)</f>
        <v>-7</v>
      </c>
      <c r="P660" s="131" t="s">
        <f>=IF(O660&gt;0,"逾期","正常")</f>
        <v>32</v>
      </c>
      <c r="Q660" s="576" t="s"/>
      <c r="R660" s="577" t="s"/>
    </row>
    <row r="661" spans="1:18" s="57" customFormat="1">
      <c r="A661" s="551" t="s"/>
      <c r="B661" s="706" t="s"/>
      <c r="C661" s="553" t="s"/>
      <c r="D661" s="784" t="s">
        <v>46</v>
      </c>
      <c r="E661" s="528" t="s">
        <v>34</v>
      </c>
      <c r="F661" s="627">
        <f>=IF(M659="",TODAY()-F657,M659-F657)</f>
        <v>39</v>
      </c>
      <c r="G661" s="498" t="s">
        <v>35</v>
      </c>
      <c r="H661" s="470" t="s">
        <v>124</v>
      </c>
      <c r="I661" s="471">
        <f>=M660</f>
        <v>46133</v>
      </c>
      <c r="J661" s="471">
        <f>=I661+L661</f>
        <v>46163</v>
      </c>
      <c r="K661" s="471">
        <f>=J661</f>
        <v>46163</v>
      </c>
      <c r="L661" s="785">
        <v>30</v>
      </c>
      <c r="M661" s="473" t="s"/>
      <c r="N661" s="467" t="s"/>
      <c r="O661" s="127">
        <f>=IF(M661="",TODAY()-J661,M661-J661)</f>
        <v>-13</v>
      </c>
      <c r="P661" s="131" t="s">
        <f>=IF(O661&gt;0,"逾期","正常")</f>
        <v>32</v>
      </c>
      <c r="Q661" s="576" t="s">
        <v>560</v>
      </c>
      <c r="R661" s="577" t="s"/>
    </row>
    <row r="662" spans="1:18" s="57" customFormat="1">
      <c r="A662" s="385" t="s"/>
      <c r="B662" s="408" t="s"/>
      <c r="C662" s="409" t="s"/>
      <c r="D662" s="712" t="s">
        <v>36</v>
      </c>
      <c r="E662" s="712" t="s">
        <v>37</v>
      </c>
      <c r="F662" s="557">
        <v>0.8</v>
      </c>
      <c r="G662" s="442" t="s">
        <v>38</v>
      </c>
      <c r="H662" s="171" t="s">
        <f>=D659</f>
        <v>72</v>
      </c>
      <c r="I662" s="443" t="s"/>
      <c r="J662" s="443" t="s"/>
      <c r="K662" s="443" t="s"/>
      <c r="L662" s="714" t="s"/>
      <c r="M662" s="445" t="s"/>
      <c r="N662" s="446" t="s"/>
      <c r="O662" s="127" t="s"/>
      <c r="P662" s="532" t="s">
        <f>=IF(O662&gt;0,"逾期","正常")</f>
        <v>32</v>
      </c>
      <c r="Q662" s="582" t="s"/>
      <c r="R662" s="583" t="s"/>
    </row>
    <row r="663" spans="1:18" s="57" customFormat="1">
      <c r="A663" s="606" t="s">
        <v>561</v>
      </c>
      <c r="B663" s="607" t="s">
        <v>15</v>
      </c>
      <c r="C663" s="608" t="s">
        <v>562</v>
      </c>
      <c r="D663" s="609" t="s">
        <v>17</v>
      </c>
      <c r="E663" s="609" t="s">
        <v>18</v>
      </c>
      <c r="F663" s="599">
        <v>46094</v>
      </c>
      <c r="G663" s="610" t="s">
        <v>19</v>
      </c>
      <c r="H663" s="611" t="s">
        <v>309</v>
      </c>
      <c r="I663" s="612">
        <f>=F663</f>
        <v>46094</v>
      </c>
      <c r="J663" s="599">
        <v>46099</v>
      </c>
      <c r="K663" s="599">
        <v>46099</v>
      </c>
      <c r="L663" s="613">
        <f>=J663-I663</f>
        <v>5</v>
      </c>
      <c r="M663" s="599">
        <v>46104</v>
      </c>
      <c r="N663" s="584">
        <f>=M663-I663</f>
        <v>10</v>
      </c>
      <c r="O663" s="655">
        <f>=IF(M663="",TODAY()-J663,M663-J663)</f>
        <v>5</v>
      </c>
      <c r="P663" s="131" t="s">
        <f>=IF(O663&gt;0,"逾期","正常")</f>
        <v>21</v>
      </c>
      <c r="Q663" s="615" t="s">
        <v>563</v>
      </c>
      <c r="R663" s="616" t="s"/>
    </row>
    <row r="664" spans="1:18" s="57" customFormat="1">
      <c r="A664" s="617" t="s"/>
      <c r="B664" s="618" t="s"/>
      <c r="C664" s="619" t="s"/>
      <c r="D664" s="620" t="s">
        <v>65</v>
      </c>
      <c r="E664" s="621" t="s">
        <v>23</v>
      </c>
      <c r="F664" s="622">
        <f>=F665-F663</f>
        <v>30</v>
      </c>
      <c r="G664" s="772" t="s">
        <v>24</v>
      </c>
      <c r="H664" s="772" t="s">
        <v>50</v>
      </c>
      <c r="I664" s="166">
        <f>=M663</f>
        <v>46104</v>
      </c>
      <c r="J664" s="166">
        <f>=F665</f>
        <v>46124</v>
      </c>
      <c r="K664" s="166">
        <f>=J664</f>
        <v>46124</v>
      </c>
      <c r="L664" s="774">
        <f>=J664-I664</f>
        <v>20</v>
      </c>
      <c r="M664" s="564" t="s"/>
      <c r="N664" s="467" t="s"/>
      <c r="O664" s="127">
        <f>=IF(M664="",TODAY()-J664,M664-J664)</f>
        <v>26</v>
      </c>
      <c r="P664" s="131" t="s">
        <f>=IF(O664&gt;0,"逾期","正常")</f>
        <v>21</v>
      </c>
      <c r="Q664" s="623" t="s">
        <v>564</v>
      </c>
      <c r="R664" s="624" t="s"/>
    </row>
    <row r="665" spans="1:18" s="57" customFormat="1">
      <c r="A665" s="617" t="s"/>
      <c r="B665" s="618" t="s"/>
      <c r="C665" s="619" t="s"/>
      <c r="D665" s="621" t="s">
        <v>28</v>
      </c>
      <c r="E665" s="621" t="s">
        <v>29</v>
      </c>
      <c r="F665" s="601">
        <v>46124</v>
      </c>
      <c r="G665" s="630" t="s">
        <v>30</v>
      </c>
      <c r="H665" s="630" t="s">
        <v>31</v>
      </c>
      <c r="I665" s="651" t="s"/>
      <c r="J665" s="651" t="s"/>
      <c r="K665" s="651" t="s"/>
      <c r="L665" s="625">
        <v>7</v>
      </c>
      <c r="M665" s="651" t="s"/>
      <c r="N665" s="653" t="s"/>
      <c r="O665" s="630" t="s"/>
      <c r="P665" s="131" t="s">
        <f>=IF(O665&gt;0,"逾期","正常")</f>
        <v>32</v>
      </c>
      <c r="Q665" s="623" t="s"/>
      <c r="R665" s="624" t="s"/>
    </row>
    <row r="666" spans="1:18" s="57" customFormat="1">
      <c r="A666" s="617" t="s"/>
      <c r="B666" s="618" t="s"/>
      <c r="C666" s="619" t="s"/>
      <c r="D666" s="626" t="s">
        <v>51</v>
      </c>
      <c r="E666" s="621" t="s">
        <v>34</v>
      </c>
      <c r="F666" s="627">
        <f>=IF(M664="",TODAY()-F663,M664-F663)</f>
        <v>56</v>
      </c>
      <c r="G666" s="630" t="s">
        <v>35</v>
      </c>
      <c r="H666" s="630" t="s"/>
      <c r="I666" s="651" t="s"/>
      <c r="J666" s="651" t="s"/>
      <c r="K666" s="651" t="s"/>
      <c r="L666" s="630" t="s"/>
      <c r="M666" s="651" t="s"/>
      <c r="N666" s="630" t="s"/>
      <c r="O666" s="630" t="s"/>
      <c r="P666" s="131" t="s">
        <f>=IF(O666&gt;0,"逾期","正常")</f>
        <v>32</v>
      </c>
      <c r="Q666" s="623" t="s"/>
      <c r="R666" s="624" t="s"/>
    </row>
    <row r="667" spans="1:18" s="57" customFormat="1">
      <c r="A667" s="631" t="s"/>
      <c r="B667" s="632" t="s"/>
      <c r="C667" s="633" t="s"/>
      <c r="D667" s="634" t="s">
        <v>36</v>
      </c>
      <c r="E667" s="634" t="s">
        <v>37</v>
      </c>
      <c r="F667" s="557">
        <v>0.6</v>
      </c>
      <c r="G667" s="636" t="s">
        <v>38</v>
      </c>
      <c r="H667" s="637" t="s">
        <f>=D664</f>
        <v>65</v>
      </c>
      <c r="I667" s="604" t="s"/>
      <c r="J667" s="604" t="s"/>
      <c r="K667" s="604" t="s"/>
      <c r="L667" s="638">
        <v>90</v>
      </c>
      <c r="M667" s="604" t="s"/>
      <c r="N667" s="639" t="s"/>
      <c r="O667" s="638" t="s"/>
      <c r="P667" s="433" t="s">
        <f>=IF(O667&gt;0,"逾期","正常")</f>
        <v>32</v>
      </c>
      <c r="Q667" s="640" t="s"/>
      <c r="R667" s="641" t="s"/>
    </row>
    <row r="668" spans="1:18" s="57" customFormat="1">
      <c r="A668" s="606" t="s">
        <v>565</v>
      </c>
      <c r="B668" s="607" t="s">
        <v>32</v>
      </c>
      <c r="C668" s="608" t="s">
        <v>566</v>
      </c>
      <c r="D668" s="609" t="s">
        <v>17</v>
      </c>
      <c r="E668" s="609" t="s">
        <v>18</v>
      </c>
      <c r="F668" s="599">
        <v>46097</v>
      </c>
      <c r="G668" s="610" t="s">
        <v>19</v>
      </c>
      <c r="H668" s="611" t="s">
        <v>41</v>
      </c>
      <c r="I668" s="612">
        <f>=F668</f>
        <v>46097</v>
      </c>
      <c r="J668" s="599">
        <v>46107</v>
      </c>
      <c r="K668" s="599">
        <v>46105</v>
      </c>
      <c r="L668" s="613">
        <f>=J668-I668</f>
        <v>10</v>
      </c>
      <c r="M668" s="599">
        <v>46106</v>
      </c>
      <c r="N668" s="584">
        <f>=M668-I668</f>
        <v>9</v>
      </c>
      <c r="O668" s="655">
        <f>=IF(M668="",TODAY()-J668,M668-J668)</f>
        <v>-1</v>
      </c>
      <c r="P668" s="131" t="s">
        <f>=IF(O668&gt;0,"逾期","正常")</f>
        <v>32</v>
      </c>
      <c r="Q668" s="615" t="s">
        <v>567</v>
      </c>
      <c r="R668" s="616" t="s"/>
    </row>
    <row r="669" spans="1:18" s="57" customFormat="1">
      <c r="A669" s="617" t="s"/>
      <c r="B669" s="618" t="s"/>
      <c r="C669" s="619" t="s"/>
      <c r="D669" s="620" t="s">
        <v>65</v>
      </c>
      <c r="E669" s="621" t="s">
        <v>23</v>
      </c>
      <c r="F669" s="622">
        <f>=F670-F668</f>
        <v>30</v>
      </c>
      <c r="G669" s="479" t="s">
        <v>24</v>
      </c>
      <c r="H669" s="479" t="s">
        <v>50</v>
      </c>
      <c r="I669" s="134">
        <f>=M668</f>
        <v>46106</v>
      </c>
      <c r="J669" s="134">
        <f>=F670</f>
        <v>46127</v>
      </c>
      <c r="K669" s="134">
        <f>=J669</f>
        <v>46127</v>
      </c>
      <c r="L669" s="422">
        <f>=J669-I669</f>
        <v>21</v>
      </c>
      <c r="M669" s="406">
        <v>46127</v>
      </c>
      <c r="N669" s="403">
        <f>=M669-I669</f>
        <v>21</v>
      </c>
      <c r="O669" s="127">
        <f>=IF(M669="",TODAY()-J669,M669-J669)</f>
        <v>0</v>
      </c>
      <c r="P669" s="131" t="s">
        <f>=IF(O669&gt;0,"逾期","正常")</f>
        <v>32</v>
      </c>
      <c r="Q669" s="623" t="s">
        <v>568</v>
      </c>
      <c r="R669" s="624" t="s"/>
    </row>
    <row r="670" spans="1:18" s="57" customFormat="1">
      <c r="A670" s="617" t="s"/>
      <c r="B670" s="618" t="s"/>
      <c r="C670" s="619" t="s"/>
      <c r="D670" s="621" t="s">
        <v>28</v>
      </c>
      <c r="E670" s="621" t="s">
        <v>29</v>
      </c>
      <c r="F670" s="601">
        <v>46127</v>
      </c>
      <c r="G670" s="630" t="s">
        <v>30</v>
      </c>
      <c r="H670" s="630" t="s">
        <v>31</v>
      </c>
      <c r="I670" s="651">
        <f>=M669</f>
        <v>46127</v>
      </c>
      <c r="J670" s="651">
        <f>=I670+L670</f>
        <v>46134</v>
      </c>
      <c r="K670" s="651">
        <f>=J670</f>
        <v>46134</v>
      </c>
      <c r="L670" s="625">
        <v>7</v>
      </c>
      <c r="M670" s="651">
        <v>46127</v>
      </c>
      <c r="N670" s="403">
        <f>=M670-I670</f>
        <v>0</v>
      </c>
      <c r="O670" s="127">
        <f>=IF(M670="",TODAY()-J670,M670-J670)</f>
        <v>-7</v>
      </c>
      <c r="P670" s="131" t="s">
        <f>=IF(O670&gt;0,"逾期","正常")</f>
        <v>32</v>
      </c>
      <c r="Q670" s="623" t="s"/>
      <c r="R670" s="624" t="s"/>
    </row>
    <row r="671" spans="1:18" s="57" customFormat="1">
      <c r="A671" s="617" t="s"/>
      <c r="B671" s="618" t="s"/>
      <c r="C671" s="619" t="s"/>
      <c r="D671" s="626" t="s">
        <v>51</v>
      </c>
      <c r="E671" s="621" t="s">
        <v>34</v>
      </c>
      <c r="F671" s="627">
        <f>=IF(M669="",TODAY()-F668,M669-F668)</f>
        <v>30</v>
      </c>
      <c r="G671" s="682" t="s">
        <v>35</v>
      </c>
      <c r="H671" s="682" t="s">
        <v>73</v>
      </c>
      <c r="I671" s="684">
        <f>=M670</f>
        <v>46127</v>
      </c>
      <c r="J671" s="684">
        <f>=I671+L671</f>
        <v>46157</v>
      </c>
      <c r="K671" s="684">
        <f>=J671</f>
        <v>46157</v>
      </c>
      <c r="L671" s="682">
        <v>30</v>
      </c>
      <c r="M671" s="684" t="s"/>
      <c r="N671" s="630" t="s"/>
      <c r="O671" s="127">
        <f>=IF(M671="",TODAY()-J671,M671-J671)</f>
        <v>-7</v>
      </c>
      <c r="P671" s="131" t="s">
        <f>=IF(O671&gt;0,"逾期","正常")</f>
        <v>32</v>
      </c>
      <c r="Q671" s="623" t="s">
        <v>569</v>
      </c>
      <c r="R671" s="624" t="s"/>
    </row>
    <row r="672" spans="1:18" s="57" customFormat="1">
      <c r="A672" s="631" t="s"/>
      <c r="B672" s="632" t="s"/>
      <c r="C672" s="633" t="s"/>
      <c r="D672" s="634" t="s">
        <v>36</v>
      </c>
      <c r="E672" s="634" t="s">
        <v>37</v>
      </c>
      <c r="F672" s="557">
        <v>0.3</v>
      </c>
      <c r="G672" s="636" t="s">
        <v>38</v>
      </c>
      <c r="H672" s="637" t="s">
        <f>=D669</f>
        <v>65</v>
      </c>
      <c r="I672" s="604" t="s"/>
      <c r="J672" s="604" t="s"/>
      <c r="K672" s="604" t="s"/>
      <c r="L672" s="638">
        <v>90</v>
      </c>
      <c r="M672" s="604" t="s"/>
      <c r="N672" s="639" t="s"/>
      <c r="O672" s="638" t="s"/>
      <c r="P672" s="433" t="s">
        <f>=IF(O672&gt;0,"逾期","正常")</f>
        <v>32</v>
      </c>
      <c r="Q672" s="640" t="s"/>
      <c r="R672" s="641" t="s"/>
    </row>
    <row r="673" spans="1:18" s="57" customFormat="1">
      <c r="A673" s="606" t="s">
        <v>570</v>
      </c>
      <c r="B673" s="607" t="s">
        <v>32</v>
      </c>
      <c r="C673" s="608" t="s">
        <v>48</v>
      </c>
      <c r="D673" s="609" t="s">
        <v>17</v>
      </c>
      <c r="E673" s="609" t="s">
        <v>18</v>
      </c>
      <c r="F673" s="599">
        <v>46101</v>
      </c>
      <c r="G673" s="610" t="s">
        <v>19</v>
      </c>
      <c r="H673" s="611" t="s">
        <v>49</v>
      </c>
      <c r="I673" s="612">
        <f>=F673</f>
        <v>46101</v>
      </c>
      <c r="J673" s="599">
        <v>46111</v>
      </c>
      <c r="K673" s="599">
        <v>46109</v>
      </c>
      <c r="L673" s="613">
        <f>=J673-I673</f>
        <v>10</v>
      </c>
      <c r="M673" s="599">
        <v>46105</v>
      </c>
      <c r="N673" s="584">
        <f>=M673-I673</f>
        <v>4</v>
      </c>
      <c r="O673" s="655">
        <f>=IF(M673="",TODAY()-J673,M673-J673)</f>
        <v>-6</v>
      </c>
      <c r="P673" s="131" t="s">
        <f>=IF(O673&gt;0,"逾期","正常")</f>
        <v>32</v>
      </c>
      <c r="Q673" s="615" t="s">
        <v>571</v>
      </c>
      <c r="R673" s="616" t="s"/>
    </row>
    <row r="674" spans="1:18" s="57" customFormat="1">
      <c r="A674" s="617" t="s"/>
      <c r="B674" s="618" t="s"/>
      <c r="C674" s="619" t="s"/>
      <c r="D674" s="620" t="s">
        <v>72</v>
      </c>
      <c r="E674" s="621" t="s">
        <v>23</v>
      </c>
      <c r="F674" s="622">
        <f>=F675-F673</f>
        <v>23</v>
      </c>
      <c r="G674" s="479" t="s">
        <v>24</v>
      </c>
      <c r="H674" s="479" t="s">
        <v>50</v>
      </c>
      <c r="I674" s="134">
        <f>=M673</f>
        <v>46105</v>
      </c>
      <c r="J674" s="134">
        <f>=F675</f>
        <v>46124</v>
      </c>
      <c r="K674" s="134">
        <f>=J674</f>
        <v>46124</v>
      </c>
      <c r="L674" s="422">
        <f>=J674-I674</f>
        <v>19</v>
      </c>
      <c r="M674" s="406">
        <v>46133</v>
      </c>
      <c r="N674" s="403">
        <f>=M674-I674</f>
        <v>28</v>
      </c>
      <c r="O674" s="127">
        <f>=IF(M674="",TODAY()-J674,M674-J674)</f>
        <v>9</v>
      </c>
      <c r="P674" s="131" t="s">
        <f>=IF(O674&gt;0,"逾期","正常")</f>
        <v>21</v>
      </c>
      <c r="Q674" s="623" t="s">
        <v>572</v>
      </c>
      <c r="R674" s="624" t="s"/>
    </row>
    <row r="675" spans="1:18" s="57" customFormat="1">
      <c r="A675" s="617" t="s"/>
      <c r="B675" s="618" t="s"/>
      <c r="C675" s="619" t="s"/>
      <c r="D675" s="621" t="s">
        <v>28</v>
      </c>
      <c r="E675" s="621" t="s">
        <v>29</v>
      </c>
      <c r="F675" s="601">
        <v>46124</v>
      </c>
      <c r="G675" s="625" t="s">
        <v>30</v>
      </c>
      <c r="H675" s="625" t="s">
        <v>31</v>
      </c>
      <c r="I675" s="601">
        <f>=M674</f>
        <v>46133</v>
      </c>
      <c r="J675" s="601">
        <f>=I675+L675</f>
        <v>46140</v>
      </c>
      <c r="K675" s="601">
        <f>=J675</f>
        <v>46140</v>
      </c>
      <c r="L675" s="625">
        <v>7</v>
      </c>
      <c r="M675" s="601">
        <v>46146</v>
      </c>
      <c r="N675" s="403">
        <f>=M675-I675</f>
        <v>13</v>
      </c>
      <c r="O675" s="127">
        <f>=IF(M675="",TODAY()-J675,M675-J675)</f>
        <v>6</v>
      </c>
      <c r="P675" s="131" t="s">
        <f>=IF(O675&gt;0,"逾期","正常")</f>
        <v>21</v>
      </c>
      <c r="Q675" s="623" t="s">
        <v>573</v>
      </c>
      <c r="R675" s="624" t="s"/>
    </row>
    <row r="676" spans="1:18" s="57" customFormat="1">
      <c r="A676" s="617" t="s"/>
      <c r="B676" s="618" t="s"/>
      <c r="C676" s="619" t="s"/>
      <c r="D676" s="626" t="s">
        <v>33</v>
      </c>
      <c r="E676" s="621" t="s">
        <v>34</v>
      </c>
      <c r="F676" s="627">
        <f>=IF(M674="",TODAY()-F673,M674-F673)</f>
        <v>32</v>
      </c>
      <c r="G676" s="682" t="s">
        <v>35</v>
      </c>
      <c r="H676" s="682" t="s">
        <v>203</v>
      </c>
      <c r="I676" s="684">
        <f>=M675</f>
        <v>46146</v>
      </c>
      <c r="J676" s="684">
        <f>=I676+L676</f>
        <v>46152</v>
      </c>
      <c r="K676" s="684">
        <f>=J676</f>
        <v>46152</v>
      </c>
      <c r="L676" s="682">
        <v>6</v>
      </c>
      <c r="M676" s="684" t="s"/>
      <c r="N676" s="630" t="s"/>
      <c r="O676" s="127">
        <f>=IF(M676="",TODAY()-J676,M676-J676)</f>
        <v>-2</v>
      </c>
      <c r="P676" s="131" t="s">
        <f>=IF(O676&gt;0,"逾期","正常")</f>
        <v>32</v>
      </c>
      <c r="Q676" s="623" t="s">
        <v>574</v>
      </c>
      <c r="R676" s="624" t="s"/>
    </row>
    <row r="677" spans="1:18" s="57" customFormat="1">
      <c r="A677" s="631" t="s"/>
      <c r="B677" s="632" t="s"/>
      <c r="C677" s="633" t="s"/>
      <c r="D677" s="634" t="s">
        <v>36</v>
      </c>
      <c r="E677" s="634" t="s">
        <v>37</v>
      </c>
      <c r="F677" s="557">
        <v>0.9</v>
      </c>
      <c r="G677" s="636" t="s">
        <v>38</v>
      </c>
      <c r="H677" s="637" t="s">
        <f>=D674</f>
        <v>72</v>
      </c>
      <c r="I677" s="604" t="s"/>
      <c r="J677" s="604" t="s"/>
      <c r="K677" s="604" t="s"/>
      <c r="L677" s="638">
        <v>90</v>
      </c>
      <c r="M677" s="604" t="s"/>
      <c r="N677" s="639" t="s"/>
      <c r="O677" s="638" t="s"/>
      <c r="P677" s="433" t="s">
        <f>=IF(O677&gt;0,"逾期","正常")</f>
        <v>32</v>
      </c>
      <c r="Q677" s="640" t="s"/>
      <c r="R677" s="641" t="s"/>
    </row>
    <row r="678" spans="1:18" s="57" customFormat="1">
      <c r="A678" s="606" t="s">
        <v>575</v>
      </c>
      <c r="B678" s="607" t="s">
        <v>32</v>
      </c>
      <c r="C678" s="608" t="s">
        <v>89</v>
      </c>
      <c r="D678" s="609" t="s">
        <v>17</v>
      </c>
      <c r="E678" s="609" t="s">
        <v>18</v>
      </c>
      <c r="F678" s="599">
        <v>46101</v>
      </c>
      <c r="G678" s="610" t="s">
        <v>19</v>
      </c>
      <c r="H678" s="611" t="s">
        <v>309</v>
      </c>
      <c r="I678" s="612">
        <f>=F678</f>
        <v>46101</v>
      </c>
      <c r="J678" s="599">
        <v>46111</v>
      </c>
      <c r="K678" s="599">
        <v>46109</v>
      </c>
      <c r="L678" s="613">
        <f>=J678-I678</f>
        <v>10</v>
      </c>
      <c r="M678" s="599">
        <v>46111</v>
      </c>
      <c r="N678" s="584">
        <f>=M678-I678</f>
        <v>10</v>
      </c>
      <c r="O678" s="655">
        <f>=IF(M678="",TODAY()-J678,M678-J678)</f>
        <v>0</v>
      </c>
      <c r="P678" s="131" t="s">
        <f>=IF(O678&gt;0,"逾期","正常")</f>
        <v>32</v>
      </c>
      <c r="Q678" s="615" t="s"/>
      <c r="R678" s="616" t="s"/>
    </row>
    <row r="679" spans="1:18" s="57" customFormat="1">
      <c r="A679" s="617" t="s"/>
      <c r="B679" s="618" t="s"/>
      <c r="C679" s="619" t="s"/>
      <c r="D679" s="620" t="s">
        <v>373</v>
      </c>
      <c r="E679" s="621" t="s">
        <v>23</v>
      </c>
      <c r="F679" s="622">
        <f>=F680-F678</f>
        <v>30</v>
      </c>
      <c r="G679" s="772" t="s">
        <v>24</v>
      </c>
      <c r="H679" s="772" t="s">
        <v>50</v>
      </c>
      <c r="I679" s="166">
        <f>=M678</f>
        <v>46111</v>
      </c>
      <c r="J679" s="166">
        <f>=F680</f>
        <v>46131</v>
      </c>
      <c r="K679" s="166">
        <f>=J679</f>
        <v>46131</v>
      </c>
      <c r="L679" s="774">
        <f>=J679-I679</f>
        <v>20</v>
      </c>
      <c r="M679" s="564" t="s"/>
      <c r="N679" s="467" t="s"/>
      <c r="O679" s="127">
        <f>=IF(M679="",TODAY()-J679,M679-J679)</f>
        <v>19</v>
      </c>
      <c r="P679" s="131" t="s">
        <f>=IF(O679&gt;0,"逾期","正常")</f>
        <v>21</v>
      </c>
      <c r="Q679" s="623" t="s">
        <v>576</v>
      </c>
      <c r="R679" s="624" t="s"/>
    </row>
    <row r="680" spans="1:18" s="57" customFormat="1">
      <c r="A680" s="617" t="s"/>
      <c r="B680" s="618" t="s"/>
      <c r="C680" s="619" t="s"/>
      <c r="D680" s="621" t="s">
        <v>28</v>
      </c>
      <c r="E680" s="621" t="s">
        <v>29</v>
      </c>
      <c r="F680" s="601">
        <v>46131</v>
      </c>
      <c r="G680" s="630" t="s">
        <v>30</v>
      </c>
      <c r="H680" s="630" t="s">
        <v>31</v>
      </c>
      <c r="I680" s="651" t="s"/>
      <c r="J680" s="651" t="s"/>
      <c r="K680" s="651" t="s"/>
      <c r="L680" s="625">
        <v>7</v>
      </c>
      <c r="M680" s="651" t="s"/>
      <c r="N680" s="653" t="s"/>
      <c r="O680" s="630" t="s"/>
      <c r="P680" s="131" t="s">
        <f>=IF(O680&gt;0,"逾期","正常")</f>
        <v>32</v>
      </c>
      <c r="Q680" s="623" t="s"/>
      <c r="R680" s="624" t="s"/>
    </row>
    <row r="681" spans="1:18" s="57" customFormat="1">
      <c r="A681" s="617" t="s"/>
      <c r="B681" s="618" t="s"/>
      <c r="C681" s="619" t="s"/>
      <c r="D681" s="626" t="s">
        <v>46</v>
      </c>
      <c r="E681" s="621" t="s">
        <v>34</v>
      </c>
      <c r="F681" s="627">
        <f>=IF(M679="",TODAY()-F678,M679-F678)</f>
        <v>49</v>
      </c>
      <c r="G681" s="630" t="s">
        <v>35</v>
      </c>
      <c r="H681" s="630" t="s"/>
      <c r="I681" s="651" t="s"/>
      <c r="J681" s="651" t="s"/>
      <c r="K681" s="651" t="s"/>
      <c r="L681" s="630" t="s"/>
      <c r="M681" s="651" t="s"/>
      <c r="N681" s="630" t="s"/>
      <c r="O681" s="630" t="s"/>
      <c r="P681" s="131" t="s">
        <f>=IF(O681&gt;0,"逾期","正常")</f>
        <v>32</v>
      </c>
      <c r="Q681" s="623" t="s"/>
      <c r="R681" s="624" t="s"/>
    </row>
    <row r="682" spans="1:18" s="57" customFormat="1">
      <c r="A682" s="631" t="s"/>
      <c r="B682" s="632" t="s"/>
      <c r="C682" s="633" t="s"/>
      <c r="D682" s="634" t="s">
        <v>36</v>
      </c>
      <c r="E682" s="634" t="s">
        <v>37</v>
      </c>
      <c r="F682" s="557">
        <v>0.3</v>
      </c>
      <c r="G682" s="685" t="s">
        <v>38</v>
      </c>
      <c r="H682" s="637" t="s">
        <f>=D679</f>
        <v>373</v>
      </c>
      <c r="I682" s="686" t="s"/>
      <c r="J682" s="686" t="s"/>
      <c r="K682" s="686" t="s"/>
      <c r="L682" s="687">
        <v>90</v>
      </c>
      <c r="M682" s="686" t="s"/>
      <c r="N682" s="639" t="s"/>
      <c r="O682" s="638" t="s"/>
      <c r="P682" s="433" t="s">
        <f>=IF(O682&gt;0,"逾期","正常")</f>
        <v>32</v>
      </c>
      <c r="Q682" s="640" t="s"/>
      <c r="R682" s="641" t="s"/>
    </row>
    <row r="683" spans="1:18" s="57" customFormat="1">
      <c r="A683" s="606" t="s">
        <v>577</v>
      </c>
      <c r="B683" s="607" t="s">
        <v>32</v>
      </c>
      <c r="C683" s="608" t="s">
        <v>89</v>
      </c>
      <c r="D683" s="609" t="s">
        <v>17</v>
      </c>
      <c r="E683" s="609" t="s">
        <v>18</v>
      </c>
      <c r="F683" s="599">
        <v>46105</v>
      </c>
      <c r="G683" s="610" t="s">
        <v>19</v>
      </c>
      <c r="H683" s="611" t="s">
        <v>49</v>
      </c>
      <c r="I683" s="612">
        <f>=F683</f>
        <v>46105</v>
      </c>
      <c r="J683" s="599">
        <v>46115</v>
      </c>
      <c r="K683" s="599">
        <v>46113</v>
      </c>
      <c r="L683" s="613">
        <f>=J683-I683</f>
        <v>10</v>
      </c>
      <c r="M683" s="599">
        <v>46107</v>
      </c>
      <c r="N683" s="584">
        <f>=M683-I683</f>
        <v>2</v>
      </c>
      <c r="O683" s="655">
        <f>=IF(M683="",TODAY()-J683,M683-J683)</f>
        <v>-8</v>
      </c>
      <c r="P683" s="131" t="s">
        <f>=IF(O683&gt;0,"逾期","正常")</f>
        <v>32</v>
      </c>
      <c r="Q683" s="615" t="s"/>
      <c r="R683" s="616" t="s"/>
    </row>
    <row r="684" spans="1:18" s="57" customFormat="1">
      <c r="A684" s="617" t="s"/>
      <c r="B684" s="618" t="s"/>
      <c r="C684" s="619" t="s"/>
      <c r="D684" s="620" t="s">
        <v>128</v>
      </c>
      <c r="E684" s="621" t="s">
        <v>23</v>
      </c>
      <c r="F684" s="622">
        <f>=F685-F683</f>
        <v>30</v>
      </c>
      <c r="G684" s="479" t="s">
        <v>24</v>
      </c>
      <c r="H684" s="479" t="s">
        <v>50</v>
      </c>
      <c r="I684" s="134">
        <f>=M683</f>
        <v>46107</v>
      </c>
      <c r="J684" s="134">
        <f>=F685</f>
        <v>46135</v>
      </c>
      <c r="K684" s="134">
        <f>=J684</f>
        <v>46135</v>
      </c>
      <c r="L684" s="422">
        <f>=J684-I684</f>
        <v>28</v>
      </c>
      <c r="M684" s="406">
        <v>46133</v>
      </c>
      <c r="N684" s="403">
        <f>=M684-I684</f>
        <v>26</v>
      </c>
      <c r="O684" s="127">
        <f>=IF(M684="",TODAY()-J684,M684-J684)</f>
        <v>-2</v>
      </c>
      <c r="P684" s="131" t="s">
        <f>=IF(O684&gt;0,"逾期","正常")</f>
        <v>32</v>
      </c>
      <c r="Q684" s="623" t="s">
        <v>505</v>
      </c>
      <c r="R684" s="624" t="s"/>
    </row>
    <row r="685" spans="1:18" s="57" customFormat="1">
      <c r="A685" s="617" t="s"/>
      <c r="B685" s="618" t="s"/>
      <c r="C685" s="619" t="s"/>
      <c r="D685" s="621" t="s">
        <v>28</v>
      </c>
      <c r="E685" s="621" t="s">
        <v>29</v>
      </c>
      <c r="F685" s="601">
        <v>46135</v>
      </c>
      <c r="G685" s="625" t="s">
        <v>30</v>
      </c>
      <c r="H685" s="625" t="s">
        <v>31</v>
      </c>
      <c r="I685" s="601">
        <f>=M684</f>
        <v>46133</v>
      </c>
      <c r="J685" s="601">
        <f>=I685+L685</f>
        <v>46140</v>
      </c>
      <c r="K685" s="601">
        <f>=J685</f>
        <v>46140</v>
      </c>
      <c r="L685" s="625">
        <v>7</v>
      </c>
      <c r="M685" s="601">
        <v>46146</v>
      </c>
      <c r="N685" s="403">
        <f>=M685-I685</f>
        <v>13</v>
      </c>
      <c r="O685" s="127">
        <f>=IF(M685="",TODAY()-J685,M685-J685)</f>
        <v>6</v>
      </c>
      <c r="P685" s="131" t="s">
        <f>=IF(O685&gt;0,"逾期","正常")</f>
        <v>21</v>
      </c>
      <c r="Q685" s="623" t="s">
        <v>573</v>
      </c>
      <c r="R685" s="624" t="s"/>
    </row>
    <row r="686" spans="1:18" s="57" customFormat="1">
      <c r="A686" s="617" t="s"/>
      <c r="B686" s="618" t="s"/>
      <c r="C686" s="619" t="s"/>
      <c r="D686" s="626" t="s">
        <v>46</v>
      </c>
      <c r="E686" s="621" t="s">
        <v>34</v>
      </c>
      <c r="F686" s="627">
        <f>=IF(M684="",TODAY()-F683,M684-F683)</f>
        <v>28</v>
      </c>
      <c r="G686" s="682" t="s">
        <v>35</v>
      </c>
      <c r="H686" s="682" t="s">
        <v>402</v>
      </c>
      <c r="I686" s="684">
        <f>=M685</f>
        <v>46146</v>
      </c>
      <c r="J686" s="684">
        <f>=I686+L686</f>
        <v>46149</v>
      </c>
      <c r="K686" s="684">
        <f>=J686</f>
        <v>46149</v>
      </c>
      <c r="L686" s="682">
        <v>3</v>
      </c>
      <c r="M686" s="684" t="s"/>
      <c r="N686" s="630" t="s"/>
      <c r="O686" s="127">
        <f>=IF(M686="",TODAY()-J686,M686-J686)</f>
        <v>1</v>
      </c>
      <c r="P686" s="131" t="s">
        <f>=IF(O686&gt;0,"逾期","正常")</f>
        <v>21</v>
      </c>
      <c r="Q686" s="623" t="s">
        <v>578</v>
      </c>
      <c r="R686" s="624" t="s"/>
    </row>
    <row r="687" spans="1:18" s="57" customFormat="1">
      <c r="A687" s="631" t="s"/>
      <c r="B687" s="632" t="s"/>
      <c r="C687" s="633" t="s"/>
      <c r="D687" s="634" t="s">
        <v>36</v>
      </c>
      <c r="E687" s="634" t="s">
        <v>37</v>
      </c>
      <c r="F687" s="557">
        <v>0.9</v>
      </c>
      <c r="G687" s="636" t="s">
        <v>38</v>
      </c>
      <c r="H687" s="637" t="s">
        <f>=D684</f>
        <v>128</v>
      </c>
      <c r="I687" s="604" t="s"/>
      <c r="J687" s="604" t="s"/>
      <c r="K687" s="604" t="s"/>
      <c r="L687" s="638">
        <v>90</v>
      </c>
      <c r="M687" s="604" t="s"/>
      <c r="N687" s="639" t="s"/>
      <c r="O687" s="638" t="s"/>
      <c r="P687" s="433" t="s">
        <f>=IF(O687&gt;0,"逾期","正常")</f>
        <v>32</v>
      </c>
      <c r="Q687" s="640" t="s"/>
      <c r="R687" s="641" t="s"/>
    </row>
    <row r="688" spans="1:18" s="57" customFormat="1">
      <c r="A688" s="606" t="s">
        <v>579</v>
      </c>
      <c r="B688" s="607" t="s">
        <v>32</v>
      </c>
      <c r="C688" s="608" t="s">
        <v>580</v>
      </c>
      <c r="D688" s="609" t="s">
        <v>17</v>
      </c>
      <c r="E688" s="609" t="s">
        <v>18</v>
      </c>
      <c r="F688" s="599">
        <v>46111</v>
      </c>
      <c r="G688" s="786" t="s">
        <v>19</v>
      </c>
      <c r="H688" s="787" t="s">
        <v>63</v>
      </c>
      <c r="I688" s="788">
        <f>=F688</f>
        <v>46111</v>
      </c>
      <c r="J688" s="789">
        <v>46126</v>
      </c>
      <c r="K688" s="789">
        <v>46123</v>
      </c>
      <c r="L688" s="790">
        <f>=J688-I688</f>
        <v>15</v>
      </c>
      <c r="M688" s="789">
        <v>46119</v>
      </c>
      <c r="N688" s="584">
        <f>=M688-I688</f>
        <v>8</v>
      </c>
      <c r="O688" s="655">
        <f>=IF(M688="",TODAY()-J688,M688-J688)</f>
        <v>-7</v>
      </c>
      <c r="P688" s="131" t="s">
        <f>=IF(O688&gt;0,"逾期","正常")</f>
        <v>32</v>
      </c>
      <c r="Q688" s="615" t="s">
        <v>581</v>
      </c>
      <c r="R688" s="616" t="s"/>
    </row>
    <row r="689" spans="1:18" s="57" customFormat="1">
      <c r="A689" s="617" t="s"/>
      <c r="B689" s="618" t="s"/>
      <c r="C689" s="619" t="s"/>
      <c r="D689" s="620" t="s">
        <v>65</v>
      </c>
      <c r="E689" s="621" t="s">
        <v>23</v>
      </c>
      <c r="F689" s="622">
        <f>=F690-F688</f>
        <v>45</v>
      </c>
      <c r="G689" s="780" t="s">
        <v>24</v>
      </c>
      <c r="H689" s="780" t="s">
        <v>50</v>
      </c>
      <c r="I689" s="781">
        <f>=M688</f>
        <v>46119</v>
      </c>
      <c r="J689" s="781">
        <f>=F690</f>
        <v>46156</v>
      </c>
      <c r="K689" s="781">
        <f>=J689</f>
        <v>46156</v>
      </c>
      <c r="L689" s="791">
        <f>=J689-I689</f>
        <v>37</v>
      </c>
      <c r="M689" s="473" t="s"/>
      <c r="N689" s="467" t="s"/>
      <c r="O689" s="127">
        <f>=IF(M689="",TODAY()-J689,M689-J689)</f>
        <v>-6</v>
      </c>
      <c r="P689" s="131" t="s">
        <f>=IF(O689&gt;0,"逾期","正常")</f>
        <v>32</v>
      </c>
      <c r="Q689" s="623" t="s">
        <v>582</v>
      </c>
      <c r="R689" s="624" t="s"/>
    </row>
    <row r="690" spans="1:18" s="57" customFormat="1">
      <c r="A690" s="617" t="s"/>
      <c r="B690" s="618" t="s"/>
      <c r="C690" s="619" t="s"/>
      <c r="D690" s="621" t="s">
        <v>28</v>
      </c>
      <c r="E690" s="621" t="s">
        <v>29</v>
      </c>
      <c r="F690" s="601">
        <v>46156</v>
      </c>
      <c r="G690" s="625" t="s">
        <v>30</v>
      </c>
      <c r="H690" s="625" t="s">
        <v>31</v>
      </c>
      <c r="I690" s="601" t="s"/>
      <c r="J690" s="601" t="s"/>
      <c r="K690" s="601" t="s"/>
      <c r="L690" s="625">
        <v>7</v>
      </c>
      <c r="M690" s="601" t="s"/>
      <c r="N690" s="653" t="s"/>
      <c r="O690" s="630" t="s"/>
      <c r="P690" s="131" t="s">
        <f>=IF(O690&gt;0,"逾期","正常")</f>
        <v>32</v>
      </c>
      <c r="Q690" s="623" t="s"/>
      <c r="R690" s="624" t="s"/>
    </row>
    <row r="691" spans="1:18" s="57" customFormat="1">
      <c r="A691" s="617" t="s"/>
      <c r="B691" s="618" t="s"/>
      <c r="C691" s="619" t="s"/>
      <c r="D691" s="626" t="s">
        <v>51</v>
      </c>
      <c r="E691" s="621" t="s">
        <v>34</v>
      </c>
      <c r="F691" s="627">
        <f>=IF(M689="",TODAY()-F688,M689-F688)</f>
        <v>39</v>
      </c>
      <c r="G691" s="625" t="s">
        <v>35</v>
      </c>
      <c r="H691" s="625" t="s"/>
      <c r="I691" s="601" t="s"/>
      <c r="J691" s="601" t="s"/>
      <c r="K691" s="601" t="s"/>
      <c r="L691" s="625" t="s"/>
      <c r="M691" s="601" t="s"/>
      <c r="N691" s="630" t="s"/>
      <c r="O691" s="630" t="s"/>
      <c r="P691" s="131" t="s">
        <f>=IF(O691&gt;0,"逾期","正常")</f>
        <v>32</v>
      </c>
      <c r="Q691" s="623" t="s"/>
      <c r="R691" s="624" t="s"/>
    </row>
    <row r="692" spans="1:18" s="57" customFormat="1">
      <c r="A692" s="631" t="s"/>
      <c r="B692" s="632" t="s"/>
      <c r="C692" s="633" t="s"/>
      <c r="D692" s="634" t="s">
        <v>36</v>
      </c>
      <c r="E692" s="634" t="s">
        <v>37</v>
      </c>
      <c r="F692" s="557">
        <v>0.3</v>
      </c>
      <c r="G692" s="685" t="s">
        <v>38</v>
      </c>
      <c r="H692" s="637" t="s">
        <f>=D689</f>
        <v>65</v>
      </c>
      <c r="I692" s="686" t="s"/>
      <c r="J692" s="686" t="s"/>
      <c r="K692" s="686" t="s"/>
      <c r="L692" s="687">
        <v>90</v>
      </c>
      <c r="M692" s="686" t="s"/>
      <c r="N692" s="639" t="s"/>
      <c r="O692" s="638" t="s"/>
      <c r="P692" s="433" t="s">
        <f>=IF(O692&gt;0,"逾期","正常")</f>
        <v>32</v>
      </c>
      <c r="Q692" s="640" t="s"/>
      <c r="R692" s="641" t="s"/>
    </row>
    <row r="693" spans="1:18" s="57" customFormat="1">
      <c r="A693" s="606" t="s">
        <v>583</v>
      </c>
      <c r="B693" s="607" t="s">
        <v>32</v>
      </c>
      <c r="C693" s="608" t="s">
        <v>584</v>
      </c>
      <c r="D693" s="609" t="s">
        <v>17</v>
      </c>
      <c r="E693" s="609" t="s">
        <v>18</v>
      </c>
      <c r="F693" s="599">
        <v>46111</v>
      </c>
      <c r="G693" s="610" t="s">
        <v>19</v>
      </c>
      <c r="H693" s="611" t="s">
        <v>41</v>
      </c>
      <c r="I693" s="612">
        <f>=F693</f>
        <v>46111</v>
      </c>
      <c r="J693" s="599">
        <v>46129</v>
      </c>
      <c r="K693" s="599">
        <v>46126</v>
      </c>
      <c r="L693" s="613">
        <f>=J693-I693</f>
        <v>18</v>
      </c>
      <c r="M693" s="599">
        <v>46130</v>
      </c>
      <c r="N693" s="584">
        <f>=M693-I693</f>
        <v>19</v>
      </c>
      <c r="O693" s="655">
        <f>=IF(M693="",TODAY()-J693,M693-J693)</f>
        <v>1</v>
      </c>
      <c r="P693" s="131" t="s">
        <f>=IF(O693&gt;0,"逾期","正常")</f>
        <v>21</v>
      </c>
      <c r="Q693" s="615" t="s">
        <v>585</v>
      </c>
      <c r="R693" s="616" t="s"/>
    </row>
    <row r="694" spans="1:18" s="57" customFormat="1">
      <c r="A694" s="617" t="s"/>
      <c r="B694" s="618" t="s"/>
      <c r="C694" s="619" t="s"/>
      <c r="D694" s="620" t="s">
        <v>57</v>
      </c>
      <c r="E694" s="621" t="s">
        <v>23</v>
      </c>
      <c r="F694" s="622">
        <f>=F695-F693</f>
        <v>45</v>
      </c>
      <c r="G694" s="780" t="s">
        <v>24</v>
      </c>
      <c r="H694" s="780" t="s">
        <v>50</v>
      </c>
      <c r="I694" s="781">
        <f>=M693</f>
        <v>46130</v>
      </c>
      <c r="J694" s="781">
        <f>=F695</f>
        <v>46156</v>
      </c>
      <c r="K694" s="781">
        <f>=J694</f>
        <v>46156</v>
      </c>
      <c r="L694" s="791">
        <f>=J694-I694</f>
        <v>26</v>
      </c>
      <c r="M694" s="473" t="s"/>
      <c r="N694" s="467" t="s"/>
      <c r="O694" s="127">
        <f>=IF(M694="",TODAY()-J694,M694-J694)</f>
        <v>-6</v>
      </c>
      <c r="P694" s="131" t="s">
        <f>=IF(O694&gt;0,"逾期","正常")</f>
        <v>32</v>
      </c>
      <c r="R694" s="624" t="s"/>
    </row>
    <row r="695" spans="1:18" s="57" customFormat="1">
      <c r="A695" s="617" t="s"/>
      <c r="B695" s="618" t="s"/>
      <c r="C695" s="619" t="s"/>
      <c r="D695" s="621" t="s">
        <v>28</v>
      </c>
      <c r="E695" s="621" t="s">
        <v>29</v>
      </c>
      <c r="F695" s="601">
        <v>46156</v>
      </c>
      <c r="G695" s="625" t="s">
        <v>30</v>
      </c>
      <c r="H695" s="625" t="s">
        <v>31</v>
      </c>
      <c r="I695" s="601" t="s"/>
      <c r="J695" s="601" t="s"/>
      <c r="K695" s="601" t="s"/>
      <c r="L695" s="625">
        <v>7</v>
      </c>
      <c r="M695" s="601" t="s"/>
      <c r="N695" s="653" t="s"/>
      <c r="O695" s="630" t="s"/>
      <c r="P695" s="131" t="s">
        <f>=IF(O695&gt;0,"逾期","正常")</f>
        <v>32</v>
      </c>
      <c r="Q695" s="623" t="s"/>
      <c r="R695" s="624" t="s"/>
    </row>
    <row r="696" spans="1:18" s="57" customFormat="1">
      <c r="A696" s="617" t="s"/>
      <c r="B696" s="618" t="s"/>
      <c r="C696" s="619" t="s"/>
      <c r="D696" s="626" t="s">
        <v>33</v>
      </c>
      <c r="E696" s="621" t="s">
        <v>34</v>
      </c>
      <c r="F696" s="627">
        <f>=IF(M694="",TODAY()-F693,M694-F693)</f>
        <v>39</v>
      </c>
      <c r="G696" s="625" t="s">
        <v>35</v>
      </c>
      <c r="H696" s="625" t="s"/>
      <c r="I696" s="601" t="s"/>
      <c r="J696" s="601" t="s"/>
      <c r="K696" s="601" t="s"/>
      <c r="L696" s="625" t="s"/>
      <c r="M696" s="601" t="s"/>
      <c r="N696" s="630" t="s"/>
      <c r="O696" s="630" t="s"/>
      <c r="P696" s="131" t="s">
        <f>=IF(O696&gt;0,"逾期","正常")</f>
        <v>32</v>
      </c>
      <c r="Q696" s="623" t="s"/>
      <c r="R696" s="624" t="s"/>
    </row>
    <row r="697" spans="1:18" s="57" customFormat="1">
      <c r="A697" s="631" t="s"/>
      <c r="B697" s="632" t="s"/>
      <c r="C697" s="633" t="s"/>
      <c r="D697" s="634" t="s">
        <v>36</v>
      </c>
      <c r="E697" s="634" t="s">
        <v>37</v>
      </c>
      <c r="F697" s="557">
        <v>0.5</v>
      </c>
      <c r="G697" s="685" t="s">
        <v>38</v>
      </c>
      <c r="H697" s="637" t="s">
        <f>=D694</f>
        <v>57</v>
      </c>
      <c r="I697" s="686" t="s"/>
      <c r="J697" s="686" t="s"/>
      <c r="K697" s="686" t="s"/>
      <c r="L697" s="687">
        <v>90</v>
      </c>
      <c r="M697" s="686" t="s"/>
      <c r="N697" s="639" t="s"/>
      <c r="O697" s="638" t="s"/>
      <c r="P697" s="433" t="s">
        <f>=IF(O697&gt;0,"逾期","正常")</f>
        <v>32</v>
      </c>
      <c r="Q697" s="640" t="s"/>
      <c r="R697" s="641" t="s"/>
    </row>
    <row r="698" spans="1:18" s="57" customFormat="1">
      <c r="A698" s="606" t="s">
        <v>586</v>
      </c>
      <c r="B698" s="607" t="s">
        <v>32</v>
      </c>
      <c r="C698" s="608" t="s">
        <v>459</v>
      </c>
      <c r="D698" s="609" t="s">
        <v>17</v>
      </c>
      <c r="E698" s="609" t="s">
        <v>18</v>
      </c>
      <c r="F698" s="599">
        <v>46111</v>
      </c>
      <c r="G698" s="610" t="s">
        <v>19</v>
      </c>
      <c r="H698" s="611" t="s">
        <v>309</v>
      </c>
      <c r="I698" s="612">
        <f>=F698</f>
        <v>46111</v>
      </c>
      <c r="J698" s="599">
        <v>46121</v>
      </c>
      <c r="K698" s="599">
        <v>46119</v>
      </c>
      <c r="L698" s="613">
        <f>=J698-I698</f>
        <v>10</v>
      </c>
      <c r="M698" s="599">
        <v>46120</v>
      </c>
      <c r="N698" s="584">
        <f>=M698-I698</f>
        <v>9</v>
      </c>
      <c r="O698" s="655">
        <f>=IF(M698="",TODAY()-J698,M698-J698)</f>
        <v>-1</v>
      </c>
      <c r="P698" s="131" t="s">
        <f>=IF(O698&gt;0,"逾期","正常")</f>
        <v>32</v>
      </c>
      <c r="Q698" s="615" t="s"/>
      <c r="R698" s="616" t="s"/>
    </row>
    <row r="699" spans="1:18" s="57" customFormat="1">
      <c r="A699" s="617" t="s"/>
      <c r="B699" s="618" t="s"/>
      <c r="C699" s="619" t="s"/>
      <c r="D699" s="620" t="s">
        <v>587</v>
      </c>
      <c r="E699" s="621" t="s">
        <v>23</v>
      </c>
      <c r="F699" s="622">
        <f>=F700-F698</f>
        <v>30</v>
      </c>
      <c r="G699" s="479" t="s">
        <v>24</v>
      </c>
      <c r="H699" s="479" t="s">
        <v>50</v>
      </c>
      <c r="I699" s="134">
        <f>=M698</f>
        <v>46120</v>
      </c>
      <c r="J699" s="134">
        <f>=F700</f>
        <v>46141</v>
      </c>
      <c r="K699" s="134">
        <f>=J699</f>
        <v>46141</v>
      </c>
      <c r="L699" s="422">
        <f>=J699-I699</f>
        <v>21</v>
      </c>
      <c r="M699" s="406">
        <v>46135</v>
      </c>
      <c r="N699" s="403">
        <f>=M699-I699</f>
        <v>15</v>
      </c>
      <c r="O699" s="127">
        <f>=IF(M699="",TODAY()-J699,M699-J699)</f>
        <v>-6</v>
      </c>
      <c r="P699" s="131" t="s">
        <f>=IF(O699&gt;0,"逾期","正常")</f>
        <v>32</v>
      </c>
      <c r="Q699" s="623" t="s"/>
      <c r="R699" s="624" t="s"/>
    </row>
    <row r="700" spans="1:18" s="57" customFormat="1">
      <c r="A700" s="617" t="s"/>
      <c r="B700" s="618" t="s"/>
      <c r="C700" s="619" t="s"/>
      <c r="D700" s="621" t="s">
        <v>28</v>
      </c>
      <c r="E700" s="621" t="s">
        <v>29</v>
      </c>
      <c r="F700" s="601">
        <v>46141</v>
      </c>
      <c r="G700" s="625" t="s">
        <v>30</v>
      </c>
      <c r="H700" s="625" t="s">
        <v>31</v>
      </c>
      <c r="I700" s="601">
        <f>=M699</f>
        <v>46135</v>
      </c>
      <c r="J700" s="601">
        <f>=I700+L700</f>
        <v>46142</v>
      </c>
      <c r="K700" s="601">
        <f>=J700</f>
        <v>46142</v>
      </c>
      <c r="L700" s="625">
        <v>7</v>
      </c>
      <c r="M700" s="601">
        <v>46149</v>
      </c>
      <c r="N700" s="403">
        <f>=M700-I700</f>
        <v>14</v>
      </c>
      <c r="O700" s="127">
        <f>=IF(M700="",TODAY()-J700,M700-J700)</f>
        <v>7</v>
      </c>
      <c r="P700" s="131" t="s">
        <f>=IF(O700&gt;0,"逾期","正常")</f>
        <v>21</v>
      </c>
      <c r="Q700" s="623" t="s">
        <v>588</v>
      </c>
      <c r="R700" s="624" t="s"/>
    </row>
    <row r="701" spans="1:18" s="57" customFormat="1">
      <c r="A701" s="617" t="s"/>
      <c r="B701" s="618" t="s"/>
      <c r="C701" s="619" t="s"/>
      <c r="D701" s="626" t="s">
        <v>33</v>
      </c>
      <c r="E701" s="621" t="s">
        <v>34</v>
      </c>
      <c r="F701" s="627">
        <f>=IF(M699="",TODAY()-F698,M699-F698)</f>
        <v>24</v>
      </c>
      <c r="G701" s="682" t="s">
        <v>35</v>
      </c>
      <c r="H701" s="682" t="s">
        <v>99</v>
      </c>
      <c r="I701" s="684">
        <f>=M700</f>
        <v>46149</v>
      </c>
      <c r="J701" s="684">
        <f>=I701+L701</f>
        <v>46161</v>
      </c>
      <c r="K701" s="684">
        <f>=J701</f>
        <v>46161</v>
      </c>
      <c r="L701" s="682">
        <v>12</v>
      </c>
      <c r="M701" s="684" t="s"/>
      <c r="N701" s="630" t="s"/>
      <c r="O701" s="127">
        <f>=IF(M701="",TODAY()-J701,M701-J701)</f>
        <v>-11</v>
      </c>
      <c r="P701" s="131" t="s">
        <f>=IF(O701&gt;0,"逾期","正常")</f>
        <v>32</v>
      </c>
      <c r="Q701" s="623" t="s"/>
      <c r="R701" s="624" t="s"/>
    </row>
    <row r="702" spans="1:18" s="57" customFormat="1">
      <c r="A702" s="631" t="s"/>
      <c r="B702" s="632" t="s"/>
      <c r="C702" s="633" t="s"/>
      <c r="D702" s="634" t="s">
        <v>36</v>
      </c>
      <c r="E702" s="634" t="s">
        <v>37</v>
      </c>
      <c r="F702" s="557">
        <v>0.9</v>
      </c>
      <c r="G702" s="636" t="s">
        <v>38</v>
      </c>
      <c r="H702" s="637" t="s">
        <f>=D699</f>
        <v>587</v>
      </c>
      <c r="I702" s="604" t="s"/>
      <c r="J702" s="604" t="s"/>
      <c r="K702" s="604" t="s"/>
      <c r="L702" s="638">
        <v>90</v>
      </c>
      <c r="M702" s="604" t="s"/>
      <c r="N702" s="639" t="s"/>
      <c r="O702" s="638" t="s"/>
      <c r="P702" s="433" t="s">
        <f>=IF(O702&gt;0,"逾期","正常")</f>
        <v>32</v>
      </c>
      <c r="Q702" s="640" t="s"/>
      <c r="R702" s="641" t="s"/>
    </row>
    <row r="703" spans="1:18" s="57" customFormat="1">
      <c r="A703" s="606" t="s">
        <v>589</v>
      </c>
      <c r="B703" s="607" t="s">
        <v>32</v>
      </c>
      <c r="C703" s="608" t="s">
        <v>590</v>
      </c>
      <c r="D703" s="609" t="s">
        <v>17</v>
      </c>
      <c r="E703" s="609" t="s">
        <v>18</v>
      </c>
      <c r="F703" s="599">
        <v>46112</v>
      </c>
      <c r="G703" s="610" t="s">
        <v>19</v>
      </c>
      <c r="H703" s="611" t="s">
        <v>41</v>
      </c>
      <c r="I703" s="612">
        <f>=F703</f>
        <v>46112</v>
      </c>
      <c r="J703" s="599">
        <v>46127</v>
      </c>
      <c r="K703" s="599">
        <v>46124</v>
      </c>
      <c r="L703" s="613">
        <f>=J703-I703</f>
        <v>15</v>
      </c>
      <c r="M703" s="599">
        <v>46123</v>
      </c>
      <c r="N703" s="584">
        <f>=M703-I703</f>
        <v>11</v>
      </c>
      <c r="O703" s="655">
        <f>=IF(M703="",TODAY()-J703,M703-J703)</f>
        <v>-4</v>
      </c>
      <c r="P703" s="131" t="s">
        <f>=IF(O703&gt;0,"逾期","正常")</f>
        <v>32</v>
      </c>
      <c r="Q703" s="615" t="s"/>
      <c r="R703" s="616" t="s"/>
    </row>
    <row r="704" spans="1:18" s="57" customFormat="1">
      <c r="A704" s="617" t="s"/>
      <c r="B704" s="618" t="s"/>
      <c r="C704" s="619" t="s"/>
      <c r="D704" s="620" t="s">
        <v>57</v>
      </c>
      <c r="E704" s="621" t="s">
        <v>23</v>
      </c>
      <c r="F704" s="622">
        <f>=F705-F703</f>
        <v>45</v>
      </c>
      <c r="G704" s="780" t="s">
        <v>24</v>
      </c>
      <c r="H704" s="780" t="s">
        <v>25</v>
      </c>
      <c r="I704" s="781">
        <f>=M703</f>
        <v>46123</v>
      </c>
      <c r="J704" s="781">
        <f>=F705</f>
        <v>46157</v>
      </c>
      <c r="K704" s="781">
        <f>=J704</f>
        <v>46157</v>
      </c>
      <c r="L704" s="791">
        <f>=J704-I704</f>
        <v>34</v>
      </c>
      <c r="M704" s="473" t="s"/>
      <c r="N704" s="467" t="s"/>
      <c r="O704" s="127">
        <f>=IF(M704="",TODAY()-J704,M704-J704)</f>
        <v>-7</v>
      </c>
      <c r="P704" s="131" t="s">
        <f>=IF(O704&gt;0,"逾期","正常")</f>
        <v>32</v>
      </c>
      <c r="Q704" s="623" t="s"/>
      <c r="R704" s="624" t="s"/>
    </row>
    <row r="705" spans="1:18" s="57" customFormat="1">
      <c r="A705" s="617" t="s"/>
      <c r="B705" s="618" t="s"/>
      <c r="C705" s="619" t="s"/>
      <c r="D705" s="621" t="s">
        <v>28</v>
      </c>
      <c r="E705" s="621" t="s">
        <v>29</v>
      </c>
      <c r="F705" s="601">
        <v>46157</v>
      </c>
      <c r="G705" s="630" t="s">
        <v>30</v>
      </c>
      <c r="H705" s="630" t="s">
        <v>31</v>
      </c>
      <c r="I705" s="651" t="s"/>
      <c r="J705" s="651" t="s"/>
      <c r="K705" s="651" t="s"/>
      <c r="L705" s="625">
        <v>7</v>
      </c>
      <c r="M705" s="651" t="s"/>
      <c r="N705" s="653" t="s"/>
      <c r="O705" s="630" t="s"/>
      <c r="P705" s="131" t="s">
        <f>=IF(O705&gt;0,"逾期","正常")</f>
        <v>32</v>
      </c>
      <c r="Q705" s="623" t="s"/>
      <c r="R705" s="624" t="s"/>
    </row>
    <row r="706" spans="1:18" s="57" customFormat="1">
      <c r="A706" s="617" t="s"/>
      <c r="B706" s="618" t="s"/>
      <c r="C706" s="619" t="s"/>
      <c r="D706" s="626" t="s">
        <v>33</v>
      </c>
      <c r="E706" s="621" t="s">
        <v>34</v>
      </c>
      <c r="F706" s="627">
        <f>=IF(M704="",TODAY()-F703,M704-F703)</f>
        <v>38</v>
      </c>
      <c r="G706" s="630" t="s">
        <v>35</v>
      </c>
      <c r="H706" s="630" t="s"/>
      <c r="I706" s="651" t="s"/>
      <c r="J706" s="651" t="s"/>
      <c r="K706" s="651" t="s"/>
      <c r="L706" s="630" t="s"/>
      <c r="M706" s="651" t="s"/>
      <c r="N706" s="630" t="s"/>
      <c r="O706" s="630" t="s"/>
      <c r="P706" s="131" t="s">
        <f>=IF(O706&gt;0,"逾期","正常")</f>
        <v>32</v>
      </c>
      <c r="Q706" s="623" t="s"/>
      <c r="R706" s="624" t="s"/>
    </row>
    <row r="707" spans="1:18" s="57" customFormat="1">
      <c r="A707" s="631" t="s"/>
      <c r="B707" s="632" t="s"/>
      <c r="C707" s="633" t="s"/>
      <c r="D707" s="634" t="s">
        <v>36</v>
      </c>
      <c r="E707" s="634" t="s">
        <v>37</v>
      </c>
      <c r="F707" s="557">
        <v>0.5</v>
      </c>
      <c r="G707" s="636" t="s">
        <v>38</v>
      </c>
      <c r="H707" s="637" t="s">
        <f>=D704</f>
        <v>57</v>
      </c>
      <c r="I707" s="604" t="s"/>
      <c r="J707" s="604" t="s"/>
      <c r="K707" s="604" t="s"/>
      <c r="L707" s="638">
        <v>90</v>
      </c>
      <c r="M707" s="604" t="s"/>
      <c r="N707" s="639" t="s"/>
      <c r="O707" s="638" t="s"/>
      <c r="P707" s="433" t="s">
        <f>=IF(O707&gt;0,"逾期","正常")</f>
        <v>32</v>
      </c>
      <c r="Q707" s="640" t="s"/>
      <c r="R707" s="641" t="s"/>
    </row>
    <row r="708" spans="1:18" s="57" customFormat="1">
      <c r="A708" s="606" t="s">
        <v>591</v>
      </c>
      <c r="B708" s="607" t="s">
        <v>32</v>
      </c>
      <c r="C708" s="608" t="s">
        <v>132</v>
      </c>
      <c r="D708" s="609" t="s">
        <v>17</v>
      </c>
      <c r="E708" s="609" t="s">
        <v>18</v>
      </c>
      <c r="F708" s="599">
        <v>46113</v>
      </c>
      <c r="G708" s="610" t="s">
        <v>19</v>
      </c>
      <c r="H708" s="611" t="s">
        <v>41</v>
      </c>
      <c r="I708" s="612">
        <f>=F708</f>
        <v>46113</v>
      </c>
      <c r="J708" s="599">
        <v>46118</v>
      </c>
      <c r="K708" s="599">
        <v>46118</v>
      </c>
      <c r="L708" s="613">
        <f>=J708-I708</f>
        <v>5</v>
      </c>
      <c r="M708" s="599">
        <v>46114</v>
      </c>
      <c r="N708" s="584">
        <f>=M708-I708</f>
        <v>1</v>
      </c>
      <c r="O708" s="655">
        <f>=IF(M708="",TODAY()-J708,M708-J708)</f>
        <v>-4</v>
      </c>
      <c r="P708" s="131" t="s">
        <f>=IF(O708&gt;0,"逾期","正常")</f>
        <v>32</v>
      </c>
      <c r="Q708" s="615" t="s">
        <v>592</v>
      </c>
      <c r="R708" s="616" t="s"/>
    </row>
    <row r="709" spans="1:18" s="57" customFormat="1">
      <c r="A709" s="617" t="s"/>
      <c r="B709" s="618" t="s"/>
      <c r="C709" s="619" t="s"/>
      <c r="D709" s="620" t="s">
        <v>65</v>
      </c>
      <c r="E709" s="621" t="s">
        <v>23</v>
      </c>
      <c r="F709" s="622">
        <f>=F710-F708</f>
        <v>15</v>
      </c>
      <c r="G709" s="479" t="s">
        <v>24</v>
      </c>
      <c r="H709" s="479" t="s">
        <v>25</v>
      </c>
      <c r="I709" s="134">
        <f>=M708</f>
        <v>46114</v>
      </c>
      <c r="J709" s="134">
        <f>=F710</f>
        <v>46128</v>
      </c>
      <c r="K709" s="134">
        <f>=J709</f>
        <v>46128</v>
      </c>
      <c r="L709" s="422">
        <f>=J709-I709</f>
        <v>14</v>
      </c>
      <c r="M709" s="406">
        <v>46132</v>
      </c>
      <c r="N709" s="467">
        <f>=M709-I709</f>
        <v>18</v>
      </c>
      <c r="O709" s="127">
        <f>=IF(M709="",TODAY()-J709,M709-J709)</f>
        <v>4</v>
      </c>
      <c r="P709" s="131" t="s">
        <f>=IF(O709&gt;0,"逾期","正常")</f>
        <v>21</v>
      </c>
      <c r="Q709" s="623" t="s">
        <v>593</v>
      </c>
      <c r="R709" s="624" t="s"/>
    </row>
    <row r="710" spans="1:18" s="57" customFormat="1">
      <c r="A710" s="617" t="s"/>
      <c r="B710" s="618" t="s"/>
      <c r="C710" s="619" t="s"/>
      <c r="D710" s="621" t="s">
        <v>28</v>
      </c>
      <c r="E710" s="621" t="s">
        <v>29</v>
      </c>
      <c r="F710" s="601">
        <v>46128</v>
      </c>
      <c r="G710" s="759" t="s">
        <v>30</v>
      </c>
      <c r="H710" s="759" t="s">
        <v>31</v>
      </c>
      <c r="I710" s="761">
        <f>=M709</f>
        <v>46132</v>
      </c>
      <c r="J710" s="761">
        <f>=I710+L710</f>
        <v>46139</v>
      </c>
      <c r="K710" s="761">
        <f>=J710</f>
        <v>46139</v>
      </c>
      <c r="L710" s="759">
        <v>7</v>
      </c>
      <c r="M710" s="761" t="s"/>
      <c r="N710" s="653" t="s"/>
      <c r="O710" s="127">
        <f>=IF(M710="",TODAY()-J710,M710-J710)</f>
        <v>11</v>
      </c>
      <c r="P710" s="131" t="s">
        <f>=IF(O710&gt;0,"逾期","正常")</f>
        <v>21</v>
      </c>
      <c r="Q710" s="623" t="s">
        <v>573</v>
      </c>
      <c r="R710" s="624" t="s"/>
    </row>
    <row r="711" spans="1:18" s="57" customFormat="1">
      <c r="A711" s="617" t="s"/>
      <c r="B711" s="618" t="s"/>
      <c r="C711" s="619" t="s"/>
      <c r="D711" s="626" t="s">
        <v>33</v>
      </c>
      <c r="E711" s="621" t="s">
        <v>34</v>
      </c>
      <c r="F711" s="627">
        <f>=IF(M709="",TODAY()-F708,M709-F708)</f>
        <v>19</v>
      </c>
      <c r="G711" s="630" t="s">
        <v>35</v>
      </c>
      <c r="H711" s="630" t="s"/>
      <c r="I711" s="651" t="s"/>
      <c r="J711" s="651" t="s"/>
      <c r="K711" s="651" t="s"/>
      <c r="L711" s="630" t="s"/>
      <c r="M711" s="651" t="s"/>
      <c r="N711" s="630" t="s"/>
      <c r="O711" s="630" t="s"/>
      <c r="P711" s="131" t="s">
        <f>=IF(O711&gt;0,"逾期","正常")</f>
        <v>32</v>
      </c>
      <c r="Q711" s="623" t="s"/>
      <c r="R711" s="624" t="s"/>
    </row>
    <row r="712" spans="1:18" s="57" customFormat="1">
      <c r="A712" s="631" t="s"/>
      <c r="B712" s="632" t="s"/>
      <c r="C712" s="633" t="s"/>
      <c r="D712" s="634" t="s">
        <v>36</v>
      </c>
      <c r="E712" s="634" t="s">
        <v>37</v>
      </c>
      <c r="F712" s="557">
        <v>1</v>
      </c>
      <c r="G712" s="636" t="s">
        <v>38</v>
      </c>
      <c r="H712" s="637" t="s">
        <f>=D709</f>
        <v>65</v>
      </c>
      <c r="I712" s="604" t="s"/>
      <c r="J712" s="604" t="s"/>
      <c r="K712" s="604" t="s"/>
      <c r="L712" s="638">
        <v>90</v>
      </c>
      <c r="M712" s="604" t="s"/>
      <c r="N712" s="639" t="s"/>
      <c r="O712" s="638" t="s"/>
      <c r="P712" s="433" t="s">
        <f>=IF(O712&gt;0,"逾期","正常")</f>
        <v>32</v>
      </c>
      <c r="Q712" s="640" t="s"/>
      <c r="R712" s="641" t="s"/>
    </row>
    <row r="713" spans="1:18" s="57" customFormat="1">
      <c r="A713" s="606" t="s">
        <v>594</v>
      </c>
      <c r="B713" s="607" t="s">
        <v>32</v>
      </c>
      <c r="C713" s="608" t="s">
        <v>108</v>
      </c>
      <c r="D713" s="609" t="s">
        <v>17</v>
      </c>
      <c r="E713" s="609" t="s">
        <v>18</v>
      </c>
      <c r="F713" s="599">
        <v>46113</v>
      </c>
      <c r="G713" s="610" t="s">
        <v>19</v>
      </c>
      <c r="H713" s="611" t="s">
        <v>49</v>
      </c>
      <c r="I713" s="612">
        <f>=F713</f>
        <v>46113</v>
      </c>
      <c r="J713" s="599">
        <v>46128</v>
      </c>
      <c r="K713" s="599">
        <v>46125</v>
      </c>
      <c r="L713" s="613">
        <f>=J713-I713</f>
        <v>15</v>
      </c>
      <c r="M713" s="599">
        <v>46122</v>
      </c>
      <c r="N713" s="584">
        <f>=M713-I713</f>
        <v>9</v>
      </c>
      <c r="O713" s="655">
        <f>=IF(M713="",TODAY()-J713,M713-J713)</f>
        <v>-6</v>
      </c>
      <c r="P713" s="131" t="s">
        <f>=IF(O713&gt;0,"逾期","正常")</f>
        <v>32</v>
      </c>
      <c r="Q713" s="615" t="s"/>
      <c r="R713" s="616" t="s"/>
    </row>
    <row r="714" spans="1:18" s="57" customFormat="1">
      <c r="A714" s="617" t="s"/>
      <c r="B714" s="618" t="s"/>
      <c r="C714" s="619" t="s"/>
      <c r="D714" s="620" t="s">
        <v>42</v>
      </c>
      <c r="E714" s="621" t="s">
        <v>23</v>
      </c>
      <c r="F714" s="622">
        <f>=F715-F713</f>
        <v>30</v>
      </c>
      <c r="G714" s="780" t="s">
        <v>24</v>
      </c>
      <c r="H714" s="780" t="s">
        <v>50</v>
      </c>
      <c r="I714" s="781">
        <f>=M713</f>
        <v>46122</v>
      </c>
      <c r="J714" s="781">
        <f>=F715</f>
        <v>46143</v>
      </c>
      <c r="K714" s="781">
        <f>=J714</f>
        <v>46143</v>
      </c>
      <c r="L714" s="791">
        <f>=J714-I714</f>
        <v>21</v>
      </c>
      <c r="M714" s="473" t="s"/>
      <c r="N714" s="467" t="s"/>
      <c r="O714" s="127">
        <f>=IF(M714="",TODAY()-J714,M714-J714)</f>
        <v>7</v>
      </c>
      <c r="P714" s="131" t="s">
        <f>=IF(O714&gt;0,"逾期","正常")</f>
        <v>21</v>
      </c>
      <c r="Q714" s="623" t="s">
        <v>595</v>
      </c>
      <c r="R714" s="624" t="s"/>
    </row>
    <row r="715" spans="1:18" s="57" customFormat="1">
      <c r="A715" s="617" t="s"/>
      <c r="B715" s="618" t="s"/>
      <c r="C715" s="619" t="s"/>
      <c r="D715" s="621" t="s">
        <v>28</v>
      </c>
      <c r="E715" s="621" t="s">
        <v>29</v>
      </c>
      <c r="F715" s="601">
        <v>46143</v>
      </c>
      <c r="G715" s="630" t="s">
        <v>30</v>
      </c>
      <c r="H715" s="630" t="s">
        <v>31</v>
      </c>
      <c r="I715" s="651" t="s"/>
      <c r="J715" s="651" t="s"/>
      <c r="K715" s="651" t="s"/>
      <c r="L715" s="625">
        <v>7</v>
      </c>
      <c r="M715" s="651" t="s"/>
      <c r="N715" s="653" t="s"/>
      <c r="O715" s="630" t="s"/>
      <c r="P715" s="131" t="s">
        <f>=IF(O715&gt;0,"逾期","正常")</f>
        <v>32</v>
      </c>
      <c r="Q715" s="623" t="s"/>
      <c r="R715" s="624" t="s"/>
    </row>
    <row r="716" spans="1:18" s="57" customFormat="1">
      <c r="A716" s="617" t="s"/>
      <c r="B716" s="618" t="s"/>
      <c r="C716" s="619" t="s"/>
      <c r="D716" s="626" t="s">
        <v>46</v>
      </c>
      <c r="E716" s="621" t="s">
        <v>34</v>
      </c>
      <c r="F716" s="627">
        <f>=IF(M714="",TODAY()-F713,M714-F713)</f>
        <v>37</v>
      </c>
      <c r="G716" s="630" t="s">
        <v>35</v>
      </c>
      <c r="H716" s="630" t="s"/>
      <c r="I716" s="651" t="s"/>
      <c r="J716" s="651" t="s"/>
      <c r="K716" s="651" t="s"/>
      <c r="L716" s="630" t="s"/>
      <c r="M716" s="651" t="s"/>
      <c r="N716" s="630" t="s"/>
      <c r="O716" s="630" t="s"/>
      <c r="P716" s="131" t="s">
        <f>=IF(O716&gt;0,"逾期","正常")</f>
        <v>32</v>
      </c>
      <c r="Q716" s="623" t="s"/>
      <c r="R716" s="624" t="s"/>
    </row>
    <row r="717" spans="1:18" s="57" customFormat="1">
      <c r="A717" s="631" t="s"/>
      <c r="B717" s="632" t="s"/>
      <c r="C717" s="633" t="s"/>
      <c r="D717" s="634" t="s">
        <v>36</v>
      </c>
      <c r="E717" s="634" t="s">
        <v>37</v>
      </c>
      <c r="F717" s="557">
        <v>0.359</v>
      </c>
      <c r="G717" s="636" t="s">
        <v>38</v>
      </c>
      <c r="H717" s="637" t="s">
        <f>=D714</f>
        <v>42</v>
      </c>
      <c r="I717" s="604" t="s"/>
      <c r="J717" s="604" t="s"/>
      <c r="K717" s="604" t="s"/>
      <c r="L717" s="638">
        <v>90</v>
      </c>
      <c r="M717" s="604" t="s"/>
      <c r="N717" s="639" t="s"/>
      <c r="O717" s="638" t="s"/>
      <c r="P717" s="433" t="s">
        <f>=IF(O717&gt;0,"逾期","正常")</f>
        <v>32</v>
      </c>
      <c r="Q717" s="640" t="s"/>
      <c r="R717" s="641" t="s"/>
    </row>
    <row r="718" spans="1:18" s="57" customFormat="1">
      <c r="A718" s="606" t="s">
        <v>596</v>
      </c>
      <c r="B718" s="607" t="s">
        <v>32</v>
      </c>
      <c r="C718" s="608" t="s">
        <v>284</v>
      </c>
      <c r="D718" s="609" t="s">
        <v>17</v>
      </c>
      <c r="E718" s="609" t="s">
        <v>18</v>
      </c>
      <c r="F718" s="599">
        <v>46115</v>
      </c>
      <c r="G718" s="610" t="s">
        <v>19</v>
      </c>
      <c r="H718" s="611" t="s">
        <v>63</v>
      </c>
      <c r="I718" s="612">
        <f>=F718</f>
        <v>46115</v>
      </c>
      <c r="J718" s="599">
        <v>46130</v>
      </c>
      <c r="K718" s="599">
        <v>46127</v>
      </c>
      <c r="L718" s="613">
        <f>=J718-I718</f>
        <v>15</v>
      </c>
      <c r="M718" s="599">
        <v>46127</v>
      </c>
      <c r="N718" s="584">
        <f>=M718-I718</f>
        <v>12</v>
      </c>
      <c r="O718" s="655">
        <f>=IF(M718="",TODAY()-J718,M718-J718)</f>
        <v>-3</v>
      </c>
      <c r="P718" s="131" t="s">
        <f>=IF(O718&gt;0,"逾期","正常")</f>
        <v>32</v>
      </c>
      <c r="Q718" s="615" t="s">
        <v>597</v>
      </c>
      <c r="R718" s="616" t="s"/>
    </row>
    <row r="719" spans="1:18" s="57" customFormat="1">
      <c r="A719" s="617" t="s"/>
      <c r="B719" s="618" t="s"/>
      <c r="C719" s="619" t="s"/>
      <c r="D719" s="620" t="s">
        <v>57</v>
      </c>
      <c r="E719" s="621" t="s">
        <v>23</v>
      </c>
      <c r="F719" s="622">
        <f>=F720-F718</f>
        <v>30</v>
      </c>
      <c r="G719" s="479" t="s">
        <v>24</v>
      </c>
      <c r="H719" s="479" t="s">
        <v>50</v>
      </c>
      <c r="I719" s="134">
        <f>=M718</f>
        <v>46127</v>
      </c>
      <c r="J719" s="134">
        <f>=F720</f>
        <v>46145</v>
      </c>
      <c r="K719" s="134">
        <f>=J719</f>
        <v>46145</v>
      </c>
      <c r="L719" s="422">
        <f>=J719-I719</f>
        <v>18</v>
      </c>
      <c r="M719" s="406">
        <v>46149</v>
      </c>
      <c r="N719" s="403">
        <f>=M719-I719</f>
        <v>22</v>
      </c>
      <c r="O719" s="127">
        <f>=IF(M719="",TODAY()-J719,M719-J719)</f>
        <v>4</v>
      </c>
      <c r="P719" s="131" t="s">
        <f>=IF(O719&gt;0,"逾期","正常")</f>
        <v>21</v>
      </c>
      <c r="Q719" s="623" t="s"/>
      <c r="R719" s="624" t="s"/>
    </row>
    <row r="720" spans="1:18" s="57" customFormat="1">
      <c r="A720" s="617" t="s"/>
      <c r="B720" s="618" t="s"/>
      <c r="C720" s="619" t="s"/>
      <c r="D720" s="621" t="s">
        <v>28</v>
      </c>
      <c r="E720" s="621" t="s">
        <v>29</v>
      </c>
      <c r="F720" s="601">
        <v>46145</v>
      </c>
      <c r="G720" s="625" t="s">
        <v>30</v>
      </c>
      <c r="H720" s="625" t="s">
        <v>31</v>
      </c>
      <c r="I720" s="601">
        <f>=M719</f>
        <v>46149</v>
      </c>
      <c r="J720" s="601">
        <f>=I720+L720</f>
        <v>46156</v>
      </c>
      <c r="K720" s="601">
        <f>=J720</f>
        <v>46156</v>
      </c>
      <c r="L720" s="625">
        <v>7</v>
      </c>
      <c r="M720" s="601">
        <v>46153</v>
      </c>
      <c r="N720" s="403">
        <f>=M720-I720</f>
        <v>4</v>
      </c>
      <c r="O720" s="127">
        <f>=IF(M720="",TODAY()-J720,M720-J720)</f>
        <v>-3</v>
      </c>
      <c r="P720" s="131" t="s">
        <f>=IF(O720&gt;0,"逾期","正常")</f>
        <v>32</v>
      </c>
      <c r="Q720" s="623" t="s"/>
      <c r="R720" s="624" t="s"/>
    </row>
    <row r="721" spans="1:18" s="57" customFormat="1">
      <c r="A721" s="617" t="s"/>
      <c r="B721" s="618" t="s"/>
      <c r="C721" s="619" t="s"/>
      <c r="D721" s="626" t="s">
        <v>33</v>
      </c>
      <c r="E721" s="621" t="s">
        <v>34</v>
      </c>
      <c r="F721" s="627">
        <f>=IF(M719="",TODAY()-F718,M719-F718)</f>
        <v>34</v>
      </c>
      <c r="G721" s="682" t="s">
        <v>35</v>
      </c>
      <c r="H721" s="682" t="s">
        <v>58</v>
      </c>
      <c r="I721" s="684">
        <f>=M720</f>
        <v>46153</v>
      </c>
      <c r="J721" s="684">
        <f>=I721+L721</f>
        <v>46159</v>
      </c>
      <c r="K721" s="684">
        <f>=J721</f>
        <v>46159</v>
      </c>
      <c r="L721" s="682">
        <v>6</v>
      </c>
      <c r="M721" s="684" t="s"/>
      <c r="N721" s="630" t="s"/>
      <c r="O721" s="127">
        <f>=IF(M721="",TODAY()-J721,M721-J721)</f>
        <v>-9</v>
      </c>
      <c r="P721" s="131" t="s">
        <f>=IF(O721&gt;0,"逾期","正常")</f>
        <v>32</v>
      </c>
      <c r="Q721" s="623" t="s"/>
      <c r="R721" s="624" t="s"/>
    </row>
    <row r="722" spans="1:18" s="57" customFormat="1">
      <c r="A722" s="631" t="s"/>
      <c r="B722" s="632" t="s"/>
      <c r="C722" s="633" t="s"/>
      <c r="D722" s="634" t="s">
        <v>36</v>
      </c>
      <c r="E722" s="634" t="s">
        <v>37</v>
      </c>
      <c r="F722" s="557">
        <v>0.9</v>
      </c>
      <c r="G722" s="636" t="s">
        <v>38</v>
      </c>
      <c r="H722" s="637" t="s">
        <f>=D719</f>
        <v>57</v>
      </c>
      <c r="I722" s="604" t="s"/>
      <c r="J722" s="604" t="s"/>
      <c r="K722" s="604" t="s"/>
      <c r="L722" s="638">
        <v>90</v>
      </c>
      <c r="M722" s="604" t="s"/>
      <c r="N722" s="639" t="s"/>
      <c r="O722" s="638" t="s"/>
      <c r="P722" s="433" t="s">
        <f>=IF(O722&gt;0,"逾期","正常")</f>
        <v>32</v>
      </c>
      <c r="Q722" s="640" t="s"/>
      <c r="R722" s="641" t="s"/>
    </row>
    <row r="723" spans="1:18" s="57" customFormat="1">
      <c r="A723" s="606" t="s">
        <v>598</v>
      </c>
      <c r="B723" s="607" t="s">
        <v>32</v>
      </c>
      <c r="C723" s="608" t="s">
        <v>89</v>
      </c>
      <c r="D723" s="609" t="s">
        <v>17</v>
      </c>
      <c r="E723" s="609" t="s">
        <v>18</v>
      </c>
      <c r="F723" s="599">
        <v>46115</v>
      </c>
      <c r="G723" s="610" t="s">
        <v>19</v>
      </c>
      <c r="H723" s="611" t="s">
        <v>309</v>
      </c>
      <c r="I723" s="612">
        <f>=F723</f>
        <v>46115</v>
      </c>
      <c r="J723" s="599">
        <v>46130</v>
      </c>
      <c r="K723" s="599">
        <v>46127</v>
      </c>
      <c r="L723" s="613">
        <f>=J723-I723</f>
        <v>15</v>
      </c>
      <c r="M723" s="599">
        <v>46127</v>
      </c>
      <c r="N723" s="584">
        <f>=M723-I723</f>
        <v>12</v>
      </c>
      <c r="O723" s="655">
        <f>=IF(M723="",TODAY()-J723,M723-J723)</f>
        <v>-3</v>
      </c>
      <c r="P723" s="131" t="s">
        <f>=IF(O723&gt;0,"逾期","正常")</f>
        <v>32</v>
      </c>
      <c r="Q723" s="615" t="s">
        <v>599</v>
      </c>
      <c r="R723" s="616" t="s"/>
    </row>
    <row r="724" spans="1:18" s="57" customFormat="1">
      <c r="A724" s="617" t="s"/>
      <c r="B724" s="618" t="s"/>
      <c r="C724" s="619" t="s"/>
      <c r="D724" s="620" t="s">
        <v>22</v>
      </c>
      <c r="E724" s="621" t="s">
        <v>23</v>
      </c>
      <c r="F724" s="622">
        <f>=F725-F723</f>
        <v>30</v>
      </c>
      <c r="G724" s="780" t="s">
        <v>24</v>
      </c>
      <c r="H724" s="780" t="s">
        <v>50</v>
      </c>
      <c r="I724" s="781">
        <f>=M723</f>
        <v>46127</v>
      </c>
      <c r="J724" s="781">
        <f>=F725</f>
        <v>46145</v>
      </c>
      <c r="K724" s="781">
        <f>=J724</f>
        <v>46145</v>
      </c>
      <c r="L724" s="791">
        <f>=J724-I724</f>
        <v>18</v>
      </c>
      <c r="M724" s="473" t="s"/>
      <c r="N724" s="467" t="s"/>
      <c r="O724" s="127">
        <f>=IF(M724="",TODAY()-J724,M724-J724)</f>
        <v>5</v>
      </c>
      <c r="P724" s="131" t="s">
        <f>=IF(O724&gt;0,"逾期","正常")</f>
        <v>21</v>
      </c>
      <c r="Q724" s="623" t="s">
        <v>595</v>
      </c>
      <c r="R724" s="624" t="s"/>
    </row>
    <row r="725" spans="1:18" s="57" customFormat="1">
      <c r="A725" s="617" t="s"/>
      <c r="B725" s="618" t="s"/>
      <c r="C725" s="619" t="s"/>
      <c r="D725" s="621" t="s">
        <v>28</v>
      </c>
      <c r="E725" s="621" t="s">
        <v>29</v>
      </c>
      <c r="F725" s="601">
        <v>46145</v>
      </c>
      <c r="G725" s="630" t="s">
        <v>30</v>
      </c>
      <c r="H725" s="630" t="s">
        <v>31</v>
      </c>
      <c r="I725" s="651" t="s"/>
      <c r="J725" s="651" t="s"/>
      <c r="K725" s="651" t="s"/>
      <c r="L725" s="625">
        <v>7</v>
      </c>
      <c r="M725" s="651" t="s"/>
      <c r="N725" s="653" t="s"/>
      <c r="O725" s="630" t="s"/>
      <c r="P725" s="131" t="s">
        <f>=IF(O725&gt;0,"逾期","正常")</f>
        <v>32</v>
      </c>
      <c r="Q725" s="623" t="s"/>
      <c r="R725" s="624" t="s"/>
    </row>
    <row r="726" spans="1:18" s="57" customFormat="1">
      <c r="A726" s="617" t="s"/>
      <c r="B726" s="618" t="s"/>
      <c r="C726" s="619" t="s"/>
      <c r="D726" s="626" t="s">
        <v>51</v>
      </c>
      <c r="E726" s="621" t="s">
        <v>34</v>
      </c>
      <c r="F726" s="627">
        <f>=IF(M724="",TODAY()-F723,M724-F723)</f>
        <v>35</v>
      </c>
      <c r="G726" s="630" t="s">
        <v>35</v>
      </c>
      <c r="H726" s="630" t="s"/>
      <c r="I726" s="651" t="s"/>
      <c r="J726" s="651" t="s"/>
      <c r="K726" s="651" t="s"/>
      <c r="L726" s="630" t="s"/>
      <c r="M726" s="651" t="s"/>
      <c r="N726" s="630" t="s"/>
      <c r="O726" s="630" t="s"/>
      <c r="P726" s="131" t="s">
        <f>=IF(O726&gt;0,"逾期","正常")</f>
        <v>32</v>
      </c>
      <c r="Q726" s="623" t="s"/>
      <c r="R726" s="624" t="s"/>
    </row>
    <row r="727" spans="1:18" s="57" customFormat="1">
      <c r="A727" s="631" t="s"/>
      <c r="B727" s="632" t="s"/>
      <c r="C727" s="633" t="s"/>
      <c r="D727" s="634" t="s">
        <v>36</v>
      </c>
      <c r="E727" s="634" t="s">
        <v>37</v>
      </c>
      <c r="F727" s="557">
        <v>0.3</v>
      </c>
      <c r="G727" s="636" t="s">
        <v>38</v>
      </c>
      <c r="H727" s="637" t="s">
        <f>=D724</f>
        <v>22</v>
      </c>
      <c r="I727" s="604" t="s"/>
      <c r="J727" s="604" t="s"/>
      <c r="K727" s="604" t="s"/>
      <c r="L727" s="638">
        <v>90</v>
      </c>
      <c r="M727" s="604" t="s"/>
      <c r="N727" s="639" t="s"/>
      <c r="O727" s="638" t="s"/>
      <c r="P727" s="433" t="s">
        <f>=IF(O727&gt;0,"逾期","正常")</f>
        <v>32</v>
      </c>
      <c r="Q727" s="640" t="s"/>
      <c r="R727" s="641" t="s"/>
    </row>
    <row r="728" spans="1:18" s="57" customFormat="1">
      <c r="A728" s="606" t="s">
        <v>600</v>
      </c>
      <c r="B728" s="607" t="s">
        <v>32</v>
      </c>
      <c r="C728" s="608" t="s">
        <v>473</v>
      </c>
      <c r="D728" s="609" t="s">
        <v>17</v>
      </c>
      <c r="E728" s="609" t="s">
        <v>18</v>
      </c>
      <c r="F728" s="599">
        <v>46115</v>
      </c>
      <c r="G728" s="610" t="s">
        <v>19</v>
      </c>
      <c r="H728" s="611" t="s">
        <v>20</v>
      </c>
      <c r="I728" s="612">
        <f>=F728</f>
        <v>46115</v>
      </c>
      <c r="J728" s="599">
        <v>46130</v>
      </c>
      <c r="K728" s="599">
        <v>46127</v>
      </c>
      <c r="L728" s="613">
        <f>=J728-I728</f>
        <v>15</v>
      </c>
      <c r="M728" s="599">
        <v>46101</v>
      </c>
      <c r="N728" s="584">
        <f>=M728-I728</f>
        <v>-14</v>
      </c>
      <c r="O728" s="655">
        <f>=IF(M728="",TODAY()-J728,M728-J728)</f>
        <v>-29</v>
      </c>
      <c r="P728" s="131" t="s">
        <f>=IF(O728&gt;0,"逾期","正常")</f>
        <v>32</v>
      </c>
      <c r="Q728" s="615" t="s">
        <v>601</v>
      </c>
      <c r="R728" s="616" t="s"/>
    </row>
    <row r="729" spans="1:18" s="57" customFormat="1">
      <c r="A729" s="617" t="s"/>
      <c r="B729" s="618" t="s"/>
      <c r="C729" s="619" t="s"/>
      <c r="D729" s="620" t="s">
        <v>57</v>
      </c>
      <c r="E729" s="621" t="s">
        <v>23</v>
      </c>
      <c r="F729" s="622">
        <f>=F730-F728</f>
        <v>30</v>
      </c>
      <c r="G729" s="479" t="s">
        <v>24</v>
      </c>
      <c r="H729" s="479" t="s">
        <v>50</v>
      </c>
      <c r="I729" s="134">
        <f>=M728</f>
        <v>46101</v>
      </c>
      <c r="J729" s="134">
        <f>=F730</f>
        <v>46145</v>
      </c>
      <c r="K729" s="134">
        <f>=J729</f>
        <v>46145</v>
      </c>
      <c r="L729" s="422">
        <f>=J729-I729</f>
        <v>44</v>
      </c>
      <c r="M729" s="406">
        <v>46118</v>
      </c>
      <c r="N729" s="403">
        <f>=M729-I729</f>
        <v>17</v>
      </c>
      <c r="O729" s="127">
        <f>=IF(M729="",TODAY()-J729,M729-J729)</f>
        <v>-27</v>
      </c>
      <c r="P729" s="131" t="s">
        <f>=IF(O729&gt;0,"逾期","正常")</f>
        <v>32</v>
      </c>
      <c r="Q729" s="623" t="s"/>
      <c r="R729" s="624" t="s"/>
    </row>
    <row r="730" spans="1:18" s="57" customFormat="1">
      <c r="A730" s="617" t="s"/>
      <c r="B730" s="618" t="s"/>
      <c r="C730" s="619" t="s"/>
      <c r="D730" s="621" t="s">
        <v>28</v>
      </c>
      <c r="E730" s="621" t="s">
        <v>29</v>
      </c>
      <c r="F730" s="601">
        <v>46145</v>
      </c>
      <c r="G730" s="625" t="s">
        <v>30</v>
      </c>
      <c r="H730" s="625" t="s">
        <v>31</v>
      </c>
      <c r="I730" s="601">
        <f>=M729</f>
        <v>46118</v>
      </c>
      <c r="J730" s="601">
        <f>=I730+L730</f>
        <v>46125</v>
      </c>
      <c r="K730" s="601">
        <f>=J730</f>
        <v>46125</v>
      </c>
      <c r="L730" s="625">
        <v>7</v>
      </c>
      <c r="M730" s="601">
        <v>46125</v>
      </c>
      <c r="N730" s="403">
        <f>=M730-I730</f>
        <v>7</v>
      </c>
      <c r="O730" s="127">
        <f>=IF(M730="",TODAY()-J730,M730-J730)</f>
        <v>0</v>
      </c>
      <c r="P730" s="131" t="s">
        <f>=IF(O730&gt;0,"逾期","正常")</f>
        <v>32</v>
      </c>
      <c r="Q730" s="623" t="s">
        <v>602</v>
      </c>
      <c r="R730" s="624" t="s"/>
    </row>
    <row r="731" spans="1:18" s="57" customFormat="1">
      <c r="A731" s="617" t="s"/>
      <c r="B731" s="618" t="s"/>
      <c r="C731" s="619" t="s"/>
      <c r="D731" s="626" t="s">
        <v>33</v>
      </c>
      <c r="E731" s="621" t="s">
        <v>34</v>
      </c>
      <c r="F731" s="627">
        <f>=IF(M729="",TODAY()-F728,M729-F728)</f>
        <v>3</v>
      </c>
      <c r="G731" s="625" t="s">
        <v>35</v>
      </c>
      <c r="H731" s="625" t="s">
        <v>58</v>
      </c>
      <c r="I731" s="601">
        <f>=M730</f>
        <v>46125</v>
      </c>
      <c r="J731" s="601">
        <f>=I731+L731</f>
        <v>46150</v>
      </c>
      <c r="K731" s="601">
        <f>=J731</f>
        <v>46150</v>
      </c>
      <c r="L731" s="625">
        <v>25</v>
      </c>
      <c r="M731" s="601">
        <v>46140</v>
      </c>
      <c r="N731" s="403">
        <f>=M731-I731</f>
        <v>15</v>
      </c>
      <c r="O731" s="127">
        <f>=IF(M731="",TODAY()-J731,M731-J731)</f>
        <v>-10</v>
      </c>
      <c r="P731" s="131" t="s">
        <f>=IF(O731&gt;0,"逾期","正常")</f>
        <v>32</v>
      </c>
      <c r="Q731" s="623" t="s">
        <v>603</v>
      </c>
      <c r="R731" s="624" t="s"/>
    </row>
    <row r="732" spans="1:18" s="57" customFormat="1">
      <c r="A732" s="631" t="s"/>
      <c r="B732" s="632" t="s"/>
      <c r="C732" s="633" t="s"/>
      <c r="D732" s="634" t="s">
        <v>36</v>
      </c>
      <c r="E732" s="634" t="s">
        <v>37</v>
      </c>
      <c r="F732" s="557">
        <v>0</v>
      </c>
      <c r="G732" s="666" t="s">
        <v>38</v>
      </c>
      <c r="H732" s="667" t="s">
        <f>=D729</f>
        <v>57</v>
      </c>
      <c r="I732" s="668">
        <f>=M731</f>
        <v>46140</v>
      </c>
      <c r="J732" s="668">
        <f>=I732+L732</f>
        <v>46230</v>
      </c>
      <c r="K732" s="668">
        <f>=J732</f>
        <v>46230</v>
      </c>
      <c r="L732" s="669">
        <v>90</v>
      </c>
      <c r="M732" s="668" t="s"/>
      <c r="N732" s="639" t="s"/>
      <c r="O732" s="127">
        <f>=IF(M732="",TODAY()-J732,M732-J732)</f>
        <v>-80</v>
      </c>
      <c r="P732" s="433" t="s">
        <f>=IF(O732&gt;0,"逾期","正常")</f>
        <v>32</v>
      </c>
      <c r="Q732" s="640" t="s"/>
      <c r="R732" s="641" t="s"/>
    </row>
    <row r="733" spans="1:18" s="57" customFormat="1">
      <c r="A733" s="606" t="s">
        <v>604</v>
      </c>
      <c r="B733" s="607" t="s">
        <v>15</v>
      </c>
      <c r="C733" s="608" t="s">
        <v>89</v>
      </c>
      <c r="D733" s="609" t="s">
        <v>17</v>
      </c>
      <c r="E733" s="609" t="s">
        <v>18</v>
      </c>
      <c r="F733" s="599">
        <v>46115</v>
      </c>
      <c r="G733" s="610" t="s">
        <v>19</v>
      </c>
      <c r="H733" s="611" t="s">
        <v>41</v>
      </c>
      <c r="I733" s="612">
        <f>=F733</f>
        <v>46115</v>
      </c>
      <c r="J733" s="599">
        <v>46130</v>
      </c>
      <c r="K733" s="599">
        <v>46127</v>
      </c>
      <c r="L733" s="613">
        <f>=J733-I733</f>
        <v>15</v>
      </c>
      <c r="M733" s="599">
        <v>46138</v>
      </c>
      <c r="N733" s="584">
        <f>=M733-I733</f>
        <v>23</v>
      </c>
      <c r="O733" s="655">
        <f>=IF(M733="",TODAY()-J733,M733-J733)</f>
        <v>8</v>
      </c>
      <c r="P733" s="131" t="s">
        <f>=IF(O733&gt;0,"逾期","正常")</f>
        <v>21</v>
      </c>
      <c r="Q733" s="615" t="s">
        <v>605</v>
      </c>
      <c r="R733" s="616" t="s"/>
    </row>
    <row r="734" spans="1:18" s="57" customFormat="1">
      <c r="A734" s="617" t="s"/>
      <c r="B734" s="618" t="s"/>
      <c r="C734" s="619" t="s"/>
      <c r="D734" s="620" t="s">
        <v>65</v>
      </c>
      <c r="E734" s="621" t="s">
        <v>23</v>
      </c>
      <c r="F734" s="622">
        <f>=F735-F733</f>
        <v>30</v>
      </c>
      <c r="G734" s="780" t="s">
        <v>24</v>
      </c>
      <c r="H734" s="780" t="s">
        <v>50</v>
      </c>
      <c r="I734" s="781">
        <f>=M733</f>
        <v>46138</v>
      </c>
      <c r="J734" s="781">
        <f>=F735</f>
        <v>46145</v>
      </c>
      <c r="K734" s="781">
        <f>=J734</f>
        <v>46145</v>
      </c>
      <c r="L734" s="791">
        <f>=J734-I734</f>
        <v>7</v>
      </c>
      <c r="M734" s="473" t="s"/>
      <c r="N734" s="467" t="s"/>
      <c r="O734" s="127">
        <f>=IF(M734="",TODAY()-J734,M734-J734)</f>
        <v>5</v>
      </c>
      <c r="P734" s="131" t="s">
        <f>=IF(O734&gt;0,"逾期","正常")</f>
        <v>21</v>
      </c>
      <c r="Q734" s="623" t="s">
        <v>606</v>
      </c>
      <c r="R734" s="624" t="s"/>
    </row>
    <row r="735" spans="1:18" s="57" customFormat="1">
      <c r="A735" s="617" t="s"/>
      <c r="B735" s="618" t="s"/>
      <c r="C735" s="619" t="s"/>
      <c r="D735" s="621" t="s">
        <v>28</v>
      </c>
      <c r="E735" s="621" t="s">
        <v>29</v>
      </c>
      <c r="F735" s="601">
        <v>46145</v>
      </c>
      <c r="G735" s="630" t="s">
        <v>30</v>
      </c>
      <c r="H735" s="630" t="s">
        <v>31</v>
      </c>
      <c r="I735" s="651" t="s"/>
      <c r="J735" s="651" t="s"/>
      <c r="K735" s="651" t="s"/>
      <c r="L735" s="625">
        <v>7</v>
      </c>
      <c r="M735" s="651" t="s"/>
      <c r="N735" s="653" t="s"/>
      <c r="O735" s="630" t="s"/>
      <c r="P735" s="131" t="s">
        <f>=IF(O735&gt;0,"逾期","正常")</f>
        <v>32</v>
      </c>
      <c r="Q735" s="623" t="s"/>
      <c r="R735" s="624" t="s"/>
    </row>
    <row r="736" spans="1:18" s="57" customFormat="1">
      <c r="A736" s="617" t="s"/>
      <c r="B736" s="618" t="s"/>
      <c r="C736" s="619" t="s"/>
      <c r="D736" s="626" t="s">
        <v>51</v>
      </c>
      <c r="E736" s="621" t="s">
        <v>34</v>
      </c>
      <c r="F736" s="627">
        <f>=IF(M734="",TODAY()-F733,M734-F733)</f>
        <v>35</v>
      </c>
      <c r="G736" s="630" t="s">
        <v>35</v>
      </c>
      <c r="H736" s="630" t="s"/>
      <c r="I736" s="651" t="s"/>
      <c r="J736" s="651" t="s"/>
      <c r="K736" s="651" t="s"/>
      <c r="L736" s="630" t="s"/>
      <c r="M736" s="651" t="s"/>
      <c r="N736" s="630" t="s"/>
      <c r="O736" s="630" t="s"/>
      <c r="P736" s="131" t="s">
        <f>=IF(O736&gt;0,"逾期","正常")</f>
        <v>32</v>
      </c>
      <c r="Q736" s="623" t="s"/>
      <c r="R736" s="624" t="s"/>
    </row>
    <row r="737" spans="1:18" s="57" customFormat="1">
      <c r="A737" s="631" t="s"/>
      <c r="B737" s="632" t="s"/>
      <c r="C737" s="633" t="s"/>
      <c r="D737" s="634" t="s">
        <v>36</v>
      </c>
      <c r="E737" s="634" t="s">
        <v>37</v>
      </c>
      <c r="F737" s="557">
        <v>0.3</v>
      </c>
      <c r="G737" s="636" t="s">
        <v>38</v>
      </c>
      <c r="H737" s="637" t="s">
        <f>=D734</f>
        <v>65</v>
      </c>
      <c r="I737" s="604" t="s"/>
      <c r="J737" s="604" t="s"/>
      <c r="K737" s="604" t="s"/>
      <c r="L737" s="638">
        <v>90</v>
      </c>
      <c r="M737" s="604" t="s"/>
      <c r="N737" s="639" t="s"/>
      <c r="O737" s="638" t="s"/>
      <c r="P737" s="433" t="s">
        <f>=IF(O737&gt;0,"逾期","正常")</f>
        <v>32</v>
      </c>
      <c r="Q737" s="640" t="s"/>
      <c r="R737" s="641" t="s"/>
    </row>
    <row r="738" spans="1:18" s="57" customFormat="1">
      <c r="A738" s="606" t="s">
        <v>607</v>
      </c>
      <c r="B738" s="607" t="s">
        <v>32</v>
      </c>
      <c r="C738" s="608" t="s">
        <v>89</v>
      </c>
      <c r="D738" s="609" t="s">
        <v>17</v>
      </c>
      <c r="E738" s="609" t="s">
        <v>18</v>
      </c>
      <c r="F738" s="599">
        <v>46119</v>
      </c>
      <c r="G738" s="610" t="s">
        <v>19</v>
      </c>
      <c r="H738" s="611" t="s">
        <v>41</v>
      </c>
      <c r="I738" s="612">
        <f>=F738</f>
        <v>46119</v>
      </c>
      <c r="J738" s="599">
        <v>46134</v>
      </c>
      <c r="K738" s="599">
        <v>46131</v>
      </c>
      <c r="L738" s="613">
        <f>=J738-I738</f>
        <v>15</v>
      </c>
      <c r="M738" s="599">
        <v>46124</v>
      </c>
      <c r="N738" s="584">
        <f>=M738-I738</f>
        <v>5</v>
      </c>
      <c r="O738" s="655">
        <f>=IF(M738="",TODAY()-J738,M738-J738)</f>
        <v>-10</v>
      </c>
      <c r="P738" s="131" t="s">
        <f>=IF(O738&gt;0,"逾期","正常")</f>
        <v>32</v>
      </c>
      <c r="Q738" s="615" t="s"/>
      <c r="R738" s="616" t="s"/>
    </row>
    <row r="739" spans="1:18" s="57" customFormat="1">
      <c r="A739" s="617" t="s"/>
      <c r="B739" s="618" t="s"/>
      <c r="C739" s="619" t="s"/>
      <c r="D739" s="620" t="s">
        <v>255</v>
      </c>
      <c r="E739" s="621" t="s">
        <v>23</v>
      </c>
      <c r="F739" s="622">
        <f>=F740-F738</f>
        <v>30</v>
      </c>
      <c r="G739" s="780" t="s">
        <v>24</v>
      </c>
      <c r="H739" s="780" t="s">
        <v>50</v>
      </c>
      <c r="I739" s="781">
        <f>=M738</f>
        <v>46124</v>
      </c>
      <c r="J739" s="781">
        <f>=F740</f>
        <v>46149</v>
      </c>
      <c r="K739" s="781">
        <f>=J739</f>
        <v>46149</v>
      </c>
      <c r="L739" s="791">
        <f>=J739-I739</f>
        <v>25</v>
      </c>
      <c r="M739" s="473" t="s"/>
      <c r="N739" s="467" t="s"/>
      <c r="O739" s="127">
        <f>=IF(M739="",TODAY()-J739,M739-J739)</f>
        <v>1</v>
      </c>
      <c r="P739" s="131" t="s">
        <f>=IF(O739&gt;0,"逾期","正常")</f>
        <v>21</v>
      </c>
      <c r="Q739" s="623" t="s">
        <v>595</v>
      </c>
      <c r="R739" s="624" t="s"/>
    </row>
    <row r="740" spans="1:18" s="57" customFormat="1">
      <c r="A740" s="617" t="s"/>
      <c r="B740" s="618" t="s"/>
      <c r="C740" s="619" t="s"/>
      <c r="D740" s="621" t="s">
        <v>28</v>
      </c>
      <c r="E740" s="621" t="s">
        <v>29</v>
      </c>
      <c r="F740" s="601">
        <v>46149</v>
      </c>
      <c r="G740" s="630" t="s">
        <v>30</v>
      </c>
      <c r="H740" s="630" t="s">
        <v>31</v>
      </c>
      <c r="I740" s="651" t="s"/>
      <c r="J740" s="651" t="s"/>
      <c r="K740" s="651" t="s"/>
      <c r="L740" s="625">
        <v>7</v>
      </c>
      <c r="M740" s="651" t="s"/>
      <c r="N740" s="653" t="s"/>
      <c r="O740" s="630" t="s"/>
      <c r="P740" s="131" t="s">
        <f>=IF(O740&gt;0,"逾期","正常")</f>
        <v>32</v>
      </c>
      <c r="Q740" s="623" t="s"/>
      <c r="R740" s="624" t="s"/>
    </row>
    <row r="741" spans="1:18" s="57" customFormat="1">
      <c r="A741" s="617" t="s"/>
      <c r="B741" s="618" t="s"/>
      <c r="C741" s="619" t="s"/>
      <c r="D741" s="626" t="s">
        <v>51</v>
      </c>
      <c r="E741" s="621" t="s">
        <v>34</v>
      </c>
      <c r="F741" s="627">
        <f>=IF(M739="",TODAY()-F738,M739-F738)</f>
        <v>31</v>
      </c>
      <c r="G741" s="630" t="s">
        <v>35</v>
      </c>
      <c r="H741" s="630" t="s"/>
      <c r="I741" s="651" t="s"/>
      <c r="J741" s="651" t="s"/>
      <c r="K741" s="651" t="s"/>
      <c r="L741" s="630" t="s"/>
      <c r="M741" s="651" t="s"/>
      <c r="N741" s="630" t="s"/>
      <c r="O741" s="630" t="s"/>
      <c r="P741" s="131" t="s">
        <f>=IF(O741&gt;0,"逾期","正常")</f>
        <v>32</v>
      </c>
      <c r="Q741" s="623" t="s"/>
      <c r="R741" s="624" t="s"/>
    </row>
    <row r="742" spans="1:18" s="57" customFormat="1">
      <c r="A742" s="631" t="s"/>
      <c r="B742" s="632" t="s"/>
      <c r="C742" s="633" t="s"/>
      <c r="D742" s="634" t="s">
        <v>36</v>
      </c>
      <c r="E742" s="634" t="s">
        <v>37</v>
      </c>
      <c r="F742" s="557">
        <v>0.468</v>
      </c>
      <c r="G742" s="636" t="s">
        <v>38</v>
      </c>
      <c r="H742" s="637" t="s">
        <f>=D739</f>
        <v>255</v>
      </c>
      <c r="I742" s="604" t="s"/>
      <c r="J742" s="604" t="s"/>
      <c r="K742" s="604" t="s"/>
      <c r="L742" s="638">
        <v>90</v>
      </c>
      <c r="M742" s="604" t="s"/>
      <c r="N742" s="639" t="s"/>
      <c r="O742" s="638" t="s"/>
      <c r="P742" s="433" t="s">
        <f>=IF(O742&gt;0,"逾期","正常")</f>
        <v>32</v>
      </c>
      <c r="Q742" s="640" t="s"/>
      <c r="R742" s="641" t="s"/>
    </row>
    <row r="743" spans="1:18" s="57" customFormat="1">
      <c r="A743" s="606" t="s">
        <v>608</v>
      </c>
      <c r="B743" s="607" t="s">
        <v>32</v>
      </c>
      <c r="C743" s="608" t="s">
        <v>89</v>
      </c>
      <c r="D743" s="609" t="s">
        <v>17</v>
      </c>
      <c r="E743" s="609" t="s">
        <v>18</v>
      </c>
      <c r="F743" s="599">
        <v>46119</v>
      </c>
      <c r="G743" s="610" t="s">
        <v>19</v>
      </c>
      <c r="H743" s="611" t="s">
        <v>49</v>
      </c>
      <c r="I743" s="612">
        <f>=F743</f>
        <v>46119</v>
      </c>
      <c r="J743" s="599">
        <v>46134</v>
      </c>
      <c r="K743" s="599">
        <v>46131</v>
      </c>
      <c r="L743" s="613">
        <f>=J743-I743</f>
        <v>15</v>
      </c>
      <c r="M743" s="599">
        <v>46125</v>
      </c>
      <c r="N743" s="584">
        <f>=M743-I743</f>
        <v>6</v>
      </c>
      <c r="O743" s="655">
        <f>=IF(M743="",TODAY()-J743,M743-J743)</f>
        <v>-9</v>
      </c>
      <c r="P743" s="131" t="s">
        <f>=IF(O743&gt;0,"逾期","正常")</f>
        <v>32</v>
      </c>
      <c r="Q743" s="615" t="s"/>
      <c r="R743" s="616" t="s"/>
    </row>
    <row r="744" spans="1:18" s="57" customFormat="1">
      <c r="A744" s="617" t="s"/>
      <c r="B744" s="618" t="s"/>
      <c r="C744" s="619" t="s"/>
      <c r="D744" s="620" t="s">
        <v>128</v>
      </c>
      <c r="E744" s="621" t="s">
        <v>23</v>
      </c>
      <c r="F744" s="622">
        <f>=F745-F743</f>
        <v>30</v>
      </c>
      <c r="G744" s="780" t="s">
        <v>24</v>
      </c>
      <c r="H744" s="780" t="s">
        <v>50</v>
      </c>
      <c r="I744" s="781">
        <f>=M743</f>
        <v>46125</v>
      </c>
      <c r="J744" s="781">
        <f>=F745</f>
        <v>46149</v>
      </c>
      <c r="K744" s="781">
        <f>=J744</f>
        <v>46149</v>
      </c>
      <c r="L744" s="791">
        <f>=J744-I744</f>
        <v>24</v>
      </c>
      <c r="M744" s="473" t="s"/>
      <c r="N744" s="467" t="s"/>
      <c r="O744" s="127">
        <f>=IF(M744="",TODAY()-J744,M744-J744)</f>
        <v>1</v>
      </c>
      <c r="P744" s="131" t="s">
        <f>=IF(O744&gt;0,"逾期","正常")</f>
        <v>21</v>
      </c>
      <c r="Q744" s="623" t="s">
        <v>595</v>
      </c>
      <c r="R744" s="624" t="s"/>
    </row>
    <row r="745" spans="1:18" s="57" customFormat="1">
      <c r="A745" s="617" t="s"/>
      <c r="B745" s="618" t="s"/>
      <c r="C745" s="619" t="s"/>
      <c r="D745" s="621" t="s">
        <v>28</v>
      </c>
      <c r="E745" s="621" t="s">
        <v>29</v>
      </c>
      <c r="F745" s="601">
        <v>46149</v>
      </c>
      <c r="G745" s="630" t="s">
        <v>30</v>
      </c>
      <c r="H745" s="630" t="s">
        <v>31</v>
      </c>
      <c r="I745" s="651" t="s"/>
      <c r="J745" s="651" t="s"/>
      <c r="K745" s="651" t="s"/>
      <c r="L745" s="625">
        <v>7</v>
      </c>
      <c r="M745" s="651" t="s"/>
      <c r="N745" s="653" t="s"/>
      <c r="O745" s="630" t="s"/>
      <c r="P745" s="131" t="s">
        <f>=IF(O745&gt;0,"逾期","正常")</f>
        <v>32</v>
      </c>
      <c r="Q745" s="623" t="s"/>
      <c r="R745" s="624" t="s"/>
    </row>
    <row r="746" spans="1:18" s="57" customFormat="1">
      <c r="A746" s="617" t="s"/>
      <c r="B746" s="618" t="s"/>
      <c r="C746" s="619" t="s"/>
      <c r="D746" s="626" t="s">
        <v>46</v>
      </c>
      <c r="E746" s="621" t="s">
        <v>34</v>
      </c>
      <c r="F746" s="627">
        <f>=IF(M744="",TODAY()-F743,M744-F743)</f>
        <v>31</v>
      </c>
      <c r="G746" s="630" t="s">
        <v>35</v>
      </c>
      <c r="H746" s="630" t="s"/>
      <c r="I746" s="651" t="s"/>
      <c r="J746" s="651" t="s"/>
      <c r="K746" s="651" t="s"/>
      <c r="L746" s="630" t="s"/>
      <c r="M746" s="651" t="s"/>
      <c r="N746" s="630" t="s"/>
      <c r="O746" s="630" t="s"/>
      <c r="P746" s="131" t="s">
        <f>=IF(O746&gt;0,"逾期","正常")</f>
        <v>32</v>
      </c>
      <c r="Q746" s="623" t="s"/>
      <c r="R746" s="624" t="s"/>
    </row>
    <row r="747" spans="1:18" s="57" customFormat="1">
      <c r="A747" s="631" t="s"/>
      <c r="B747" s="632" t="s"/>
      <c r="C747" s="633" t="s"/>
      <c r="D747" s="634" t="s">
        <v>36</v>
      </c>
      <c r="E747" s="634" t="s">
        <v>37</v>
      </c>
      <c r="F747" s="557">
        <v>0.3</v>
      </c>
      <c r="G747" s="636" t="s">
        <v>38</v>
      </c>
      <c r="H747" s="637" t="s">
        <f>=D744</f>
        <v>128</v>
      </c>
      <c r="I747" s="604" t="s"/>
      <c r="J747" s="604" t="s"/>
      <c r="K747" s="604" t="s"/>
      <c r="L747" s="638">
        <v>90</v>
      </c>
      <c r="M747" s="604" t="s"/>
      <c r="N747" s="639" t="s"/>
      <c r="O747" s="638" t="s"/>
      <c r="P747" s="433" t="s">
        <f>=IF(O747&gt;0,"逾期","正常")</f>
        <v>32</v>
      </c>
      <c r="Q747" s="640" t="s"/>
      <c r="R747" s="641" t="s"/>
    </row>
    <row r="748" spans="1:18" s="57" customFormat="1">
      <c r="A748" s="606" t="s">
        <v>609</v>
      </c>
      <c r="B748" s="607" t="s">
        <v>32</v>
      </c>
      <c r="C748" s="608" t="s">
        <v>89</v>
      </c>
      <c r="D748" s="609" t="s">
        <v>17</v>
      </c>
      <c r="E748" s="609" t="s">
        <v>18</v>
      </c>
      <c r="F748" s="599">
        <v>46119</v>
      </c>
      <c r="G748" s="610" t="s">
        <v>19</v>
      </c>
      <c r="H748" s="611" t="s">
        <v>49</v>
      </c>
      <c r="I748" s="612">
        <f>=F748</f>
        <v>46119</v>
      </c>
      <c r="J748" s="599">
        <v>46139</v>
      </c>
      <c r="K748" s="599">
        <v>46137</v>
      </c>
      <c r="L748" s="613">
        <f>=J748-I748</f>
        <v>20</v>
      </c>
      <c r="M748" s="599">
        <v>46135</v>
      </c>
      <c r="N748" s="584">
        <f>=M748-I748</f>
        <v>16</v>
      </c>
      <c r="O748" s="655">
        <f>=IF(M748="",TODAY()-J748,M748-J748)</f>
        <v>-4</v>
      </c>
      <c r="P748" s="131" t="s">
        <f>=IF(O748&gt;0,"逾期","正常")</f>
        <v>32</v>
      </c>
      <c r="Q748" s="615" t="s">
        <v>610</v>
      </c>
      <c r="R748" s="616" t="s"/>
    </row>
    <row r="749" spans="1:18" s="57" customFormat="1">
      <c r="A749" s="617" t="s"/>
      <c r="B749" s="618" t="s"/>
      <c r="C749" s="619" t="s"/>
      <c r="D749" s="620" t="s">
        <v>145</v>
      </c>
      <c r="E749" s="621" t="s">
        <v>23</v>
      </c>
      <c r="F749" s="622">
        <f>=F750-F748</f>
        <v>45</v>
      </c>
      <c r="G749" s="780" t="s">
        <v>24</v>
      </c>
      <c r="H749" s="780" t="s">
        <v>50</v>
      </c>
      <c r="I749" s="781">
        <f>=M748</f>
        <v>46135</v>
      </c>
      <c r="J749" s="781">
        <f>=F750</f>
        <v>46164</v>
      </c>
      <c r="K749" s="781">
        <f>=J749</f>
        <v>46164</v>
      </c>
      <c r="L749" s="791">
        <f>=J749-I749</f>
        <v>29</v>
      </c>
      <c r="M749" s="473" t="s"/>
      <c r="N749" s="467" t="s"/>
      <c r="O749" s="127">
        <f>=IF(M749="",TODAY()-J749,M749-J749)</f>
        <v>-14</v>
      </c>
      <c r="P749" s="131" t="s">
        <f>=IF(O749&gt;0,"逾期","正常")</f>
        <v>32</v>
      </c>
      <c r="Q749" s="623" t="s">
        <v>595</v>
      </c>
      <c r="R749" s="624" t="s"/>
    </row>
    <row r="750" spans="1:18" s="57" customFormat="1">
      <c r="A750" s="617" t="s"/>
      <c r="B750" s="618" t="s"/>
      <c r="C750" s="619" t="s"/>
      <c r="D750" s="621" t="s">
        <v>28</v>
      </c>
      <c r="E750" s="621" t="s">
        <v>29</v>
      </c>
      <c r="F750" s="601">
        <v>46164</v>
      </c>
      <c r="G750" s="630" t="s">
        <v>30</v>
      </c>
      <c r="H750" s="630" t="s">
        <v>31</v>
      </c>
      <c r="I750" s="651" t="s"/>
      <c r="J750" s="651" t="s"/>
      <c r="K750" s="651" t="s"/>
      <c r="L750" s="625">
        <v>7</v>
      </c>
      <c r="M750" s="651" t="s"/>
      <c r="N750" s="653" t="s"/>
      <c r="O750" s="630" t="s"/>
      <c r="P750" s="131" t="s">
        <f>=IF(O750&gt;0,"逾期","正常")</f>
        <v>32</v>
      </c>
      <c r="Q750" s="623" t="s"/>
      <c r="R750" s="624" t="s"/>
    </row>
    <row r="751" spans="1:18" s="57" customFormat="1">
      <c r="A751" s="617" t="s"/>
      <c r="B751" s="618" t="s"/>
      <c r="C751" s="619" t="s"/>
      <c r="D751" s="626" t="s">
        <v>51</v>
      </c>
      <c r="E751" s="621" t="s">
        <v>34</v>
      </c>
      <c r="F751" s="627">
        <f>=IF(M749="",TODAY()-F748,M749-F748)</f>
        <v>31</v>
      </c>
      <c r="G751" s="630" t="s">
        <v>35</v>
      </c>
      <c r="H751" s="630" t="s"/>
      <c r="I751" s="651" t="s"/>
      <c r="J751" s="651" t="s"/>
      <c r="K751" s="651" t="s"/>
      <c r="L751" s="630" t="s"/>
      <c r="M751" s="651" t="s"/>
      <c r="N751" s="630" t="s"/>
      <c r="O751" s="630" t="s"/>
      <c r="P751" s="131" t="s">
        <f>=IF(O751&gt;0,"逾期","正常")</f>
        <v>32</v>
      </c>
      <c r="Q751" s="623" t="s"/>
      <c r="R751" s="624" t="s"/>
    </row>
    <row r="752" spans="1:18" s="57" customFormat="1">
      <c r="A752" s="631" t="s"/>
      <c r="B752" s="632" t="s"/>
      <c r="C752" s="633" t="s"/>
      <c r="D752" s="634" t="s">
        <v>36</v>
      </c>
      <c r="E752" s="634" t="s">
        <v>37</v>
      </c>
      <c r="F752" s="557">
        <v>0.5</v>
      </c>
      <c r="G752" s="636" t="s">
        <v>38</v>
      </c>
      <c r="H752" s="637" t="s">
        <f>=D749</f>
        <v>145</v>
      </c>
      <c r="I752" s="604" t="s"/>
      <c r="J752" s="604" t="s"/>
      <c r="K752" s="604" t="s"/>
      <c r="L752" s="638">
        <v>90</v>
      </c>
      <c r="M752" s="604" t="s"/>
      <c r="N752" s="639" t="s"/>
      <c r="O752" s="638" t="s"/>
      <c r="P752" s="433" t="s">
        <f>=IF(O752&gt;0,"逾期","正常")</f>
        <v>32</v>
      </c>
      <c r="Q752" s="640" t="s"/>
      <c r="R752" s="641" t="s"/>
    </row>
    <row r="753" spans="1:18" s="57" customFormat="1">
      <c r="A753" s="606" t="s">
        <v>611</v>
      </c>
      <c r="B753" s="607" t="s">
        <v>32</v>
      </c>
      <c r="C753" s="608" t="s">
        <v>612</v>
      </c>
      <c r="D753" s="609" t="s">
        <v>17</v>
      </c>
      <c r="E753" s="609" t="s">
        <v>18</v>
      </c>
      <c r="F753" s="599">
        <v>46119</v>
      </c>
      <c r="G753" s="610" t="s">
        <v>19</v>
      </c>
      <c r="H753" s="611" t="s">
        <v>309</v>
      </c>
      <c r="I753" s="612">
        <f>=F753</f>
        <v>46119</v>
      </c>
      <c r="J753" s="599">
        <v>46134</v>
      </c>
      <c r="K753" s="599">
        <v>46131</v>
      </c>
      <c r="L753" s="613">
        <f>=J753-I753</f>
        <v>15</v>
      </c>
      <c r="M753" s="599">
        <v>46122</v>
      </c>
      <c r="N753" s="584">
        <f>=M753-I753</f>
        <v>3</v>
      </c>
      <c r="O753" s="655">
        <f>=IF(M753="",TODAY()-J753,M753-J753)</f>
        <v>-12</v>
      </c>
      <c r="P753" s="131" t="s">
        <f>=IF(O753&gt;0,"逾期","正常")</f>
        <v>32</v>
      </c>
      <c r="Q753" s="615" t="s"/>
      <c r="R753" s="616" t="s"/>
    </row>
    <row r="754" spans="1:18" s="57" customFormat="1">
      <c r="A754" s="617" t="s"/>
      <c r="B754" s="618" t="s"/>
      <c r="C754" s="619" t="s"/>
      <c r="D754" s="620" t="s">
        <v>128</v>
      </c>
      <c r="E754" s="621" t="s">
        <v>23</v>
      </c>
      <c r="F754" s="622">
        <f>=F755-F753</f>
        <v>30</v>
      </c>
      <c r="G754" s="479" t="s">
        <v>24</v>
      </c>
      <c r="H754" s="479" t="s">
        <v>50</v>
      </c>
      <c r="I754" s="134">
        <f>=M753</f>
        <v>46122</v>
      </c>
      <c r="J754" s="134">
        <f>=F755</f>
        <v>46149</v>
      </c>
      <c r="K754" s="134">
        <f>=J754</f>
        <v>46149</v>
      </c>
      <c r="L754" s="422">
        <f>=J754-I754</f>
        <v>27</v>
      </c>
      <c r="M754" s="406">
        <v>46148</v>
      </c>
      <c r="N754" s="403">
        <f>=M754-I754</f>
        <v>26</v>
      </c>
      <c r="O754" s="127">
        <f>=IF(M754="",TODAY()-J754,M754-J754)</f>
        <v>-1</v>
      </c>
      <c r="P754" s="131" t="s">
        <f>=IF(O754&gt;0,"逾期","正常")</f>
        <v>32</v>
      </c>
      <c r="Q754" s="623" t="s"/>
      <c r="R754" s="624" t="s"/>
    </row>
    <row r="755" spans="1:18" s="57" customFormat="1">
      <c r="A755" s="617" t="s"/>
      <c r="B755" s="618" t="s"/>
      <c r="C755" s="619" t="s"/>
      <c r="D755" s="621" t="s">
        <v>28</v>
      </c>
      <c r="E755" s="621" t="s">
        <v>29</v>
      </c>
      <c r="F755" s="601">
        <v>46149</v>
      </c>
      <c r="G755" s="682" t="s">
        <v>30</v>
      </c>
      <c r="H755" s="682" t="s">
        <v>31</v>
      </c>
      <c r="I755" s="684">
        <f>=M754</f>
        <v>46148</v>
      </c>
      <c r="J755" s="684">
        <f>=I755+L755</f>
        <v>46155</v>
      </c>
      <c r="K755" s="684">
        <f>=J755</f>
        <v>46155</v>
      </c>
      <c r="L755" s="682">
        <v>7</v>
      </c>
      <c r="M755" s="684" t="s"/>
      <c r="N755" s="653" t="s"/>
      <c r="O755" s="127">
        <f>=IF(M755="",TODAY()-J755,M755-J755)</f>
        <v>-5</v>
      </c>
      <c r="P755" s="131" t="s">
        <f>=IF(O755&gt;0,"逾期","正常")</f>
        <v>32</v>
      </c>
      <c r="Q755" s="623" t="s"/>
      <c r="R755" s="624" t="s"/>
    </row>
    <row r="756" spans="1:18" s="57" customFormat="1">
      <c r="A756" s="617" t="s"/>
      <c r="B756" s="618" t="s"/>
      <c r="C756" s="619" t="s"/>
      <c r="D756" s="626" t="s">
        <v>33</v>
      </c>
      <c r="E756" s="621" t="s">
        <v>34</v>
      </c>
      <c r="F756" s="627">
        <f>=IF(M754="",TODAY()-F753,M754-F753)</f>
        <v>29</v>
      </c>
      <c r="G756" s="630" t="s">
        <v>35</v>
      </c>
      <c r="H756" s="630" t="s"/>
      <c r="I756" s="651" t="s"/>
      <c r="J756" s="651" t="s"/>
      <c r="K756" s="651" t="s"/>
      <c r="L756" s="630" t="s"/>
      <c r="M756" s="651" t="s"/>
      <c r="N756" s="630" t="s"/>
      <c r="O756" s="630" t="s"/>
      <c r="P756" s="131" t="s">
        <f>=IF(O756&gt;0,"逾期","正常")</f>
        <v>32</v>
      </c>
      <c r="Q756" s="623" t="s"/>
      <c r="R756" s="624" t="s"/>
    </row>
    <row r="757" spans="1:18" s="57" customFormat="1">
      <c r="A757" s="631" t="s"/>
      <c r="B757" s="632" t="s"/>
      <c r="C757" s="633" t="s"/>
      <c r="D757" s="634" t="s">
        <v>36</v>
      </c>
      <c r="E757" s="634" t="s">
        <v>37</v>
      </c>
      <c r="F757" s="557">
        <v>0.9</v>
      </c>
      <c r="G757" s="636" t="s">
        <v>38</v>
      </c>
      <c r="H757" s="637" t="s">
        <f>=D754</f>
        <v>128</v>
      </c>
      <c r="I757" s="604" t="s"/>
      <c r="J757" s="604" t="s"/>
      <c r="K757" s="604" t="s"/>
      <c r="L757" s="638">
        <v>90</v>
      </c>
      <c r="M757" s="604" t="s"/>
      <c r="N757" s="639" t="s"/>
      <c r="O757" s="638" t="s"/>
      <c r="P757" s="433" t="s">
        <f>=IF(O757&gt;0,"逾期","正常")</f>
        <v>32</v>
      </c>
      <c r="Q757" s="640" t="s"/>
      <c r="R757" s="641" t="s"/>
    </row>
    <row r="758" spans="1:18" s="57" customFormat="1">
      <c r="A758" s="606" t="s">
        <v>613</v>
      </c>
      <c r="B758" s="607" t="s">
        <v>32</v>
      </c>
      <c r="C758" s="608" t="s">
        <v>89</v>
      </c>
      <c r="D758" s="609" t="s">
        <v>17</v>
      </c>
      <c r="E758" s="609" t="s">
        <v>18</v>
      </c>
      <c r="F758" s="599">
        <v>46120</v>
      </c>
      <c r="G758" s="610" t="s">
        <v>19</v>
      </c>
      <c r="H758" s="611" t="s">
        <v>49</v>
      </c>
      <c r="I758" s="612">
        <f>=F758</f>
        <v>46120</v>
      </c>
      <c r="J758" s="599">
        <v>46130</v>
      </c>
      <c r="K758" s="599">
        <v>46128</v>
      </c>
      <c r="L758" s="613">
        <f>=J758-I758</f>
        <v>10</v>
      </c>
      <c r="M758" s="599">
        <v>46134</v>
      </c>
      <c r="N758" s="584">
        <f>=M758-I758</f>
        <v>14</v>
      </c>
      <c r="O758" s="655">
        <f>=IF(M758="",TODAY()-J758,M758-J758)</f>
        <v>4</v>
      </c>
      <c r="P758" s="131" t="s">
        <f>=IF(O758&gt;0,"逾期","正常")</f>
        <v>21</v>
      </c>
      <c r="Q758" s="615" t="s">
        <v>614</v>
      </c>
      <c r="R758" s="616" t="s"/>
    </row>
    <row r="759" spans="1:18" s="57" customFormat="1">
      <c r="A759" s="617" t="s"/>
      <c r="B759" s="618" t="s"/>
      <c r="C759" s="619" t="s"/>
      <c r="D759" s="620" t="s">
        <v>72</v>
      </c>
      <c r="E759" s="621" t="s">
        <v>23</v>
      </c>
      <c r="F759" s="622">
        <f>=F760-F758</f>
        <v>30</v>
      </c>
      <c r="G759" s="479" t="s">
        <v>24</v>
      </c>
      <c r="H759" s="479" t="s">
        <v>50</v>
      </c>
      <c r="I759" s="134">
        <f>=M758</f>
        <v>46134</v>
      </c>
      <c r="J759" s="134">
        <f>=F760</f>
        <v>46150</v>
      </c>
      <c r="K759" s="134">
        <f>=J759</f>
        <v>46150</v>
      </c>
      <c r="L759" s="422">
        <f>=J759-I759</f>
        <v>16</v>
      </c>
      <c r="M759" s="406">
        <v>46150</v>
      </c>
      <c r="N759" s="403">
        <f>=M759-I759</f>
        <v>16</v>
      </c>
      <c r="O759" s="127">
        <f>=IF(M759="",TODAY()-J759,M759-J759)</f>
        <v>0</v>
      </c>
      <c r="P759" s="131" t="s">
        <f>=IF(O759&gt;0,"逾期","正常")</f>
        <v>32</v>
      </c>
      <c r="Q759" s="623" t="s"/>
      <c r="R759" s="624" t="s"/>
    </row>
    <row r="760" spans="1:18" s="57" customFormat="1">
      <c r="A760" s="617" t="s"/>
      <c r="B760" s="618" t="s"/>
      <c r="C760" s="619" t="s"/>
      <c r="D760" s="621" t="s">
        <v>28</v>
      </c>
      <c r="E760" s="621" t="s">
        <v>29</v>
      </c>
      <c r="F760" s="601">
        <v>46150</v>
      </c>
      <c r="G760" s="682" t="s">
        <v>30</v>
      </c>
      <c r="H760" s="682" t="s">
        <v>31</v>
      </c>
      <c r="I760" s="684">
        <f>=M759</f>
        <v>46150</v>
      </c>
      <c r="J760" s="684">
        <f>=I760+L760</f>
        <v>46157</v>
      </c>
      <c r="K760" s="684">
        <f>=J760</f>
        <v>46157</v>
      </c>
      <c r="L760" s="682">
        <v>7</v>
      </c>
      <c r="M760" s="684" t="s"/>
      <c r="N760" s="653" t="s"/>
      <c r="O760" s="127">
        <f>=IF(M760="",TODAY()-J760,M760-J760)</f>
        <v>-7</v>
      </c>
      <c r="P760" s="131" t="s">
        <f>=IF(O760&gt;0,"逾期","正常")</f>
        <v>32</v>
      </c>
      <c r="Q760" s="623" t="s"/>
      <c r="R760" s="624" t="s"/>
    </row>
    <row r="761" spans="1:18" s="57" customFormat="1">
      <c r="A761" s="617" t="s"/>
      <c r="B761" s="618" t="s"/>
      <c r="C761" s="619" t="s"/>
      <c r="D761" s="626" t="s">
        <v>46</v>
      </c>
      <c r="E761" s="621" t="s">
        <v>34</v>
      </c>
      <c r="F761" s="627">
        <f>=IF(M759="",TODAY()-F758,M759-F758)</f>
        <v>30</v>
      </c>
      <c r="G761" s="630" t="s">
        <v>35</v>
      </c>
      <c r="H761" s="630" t="s"/>
      <c r="I761" s="651" t="s"/>
      <c r="J761" s="651" t="s"/>
      <c r="K761" s="651" t="s"/>
      <c r="L761" s="630" t="s"/>
      <c r="M761" s="651" t="s"/>
      <c r="N761" s="630" t="s"/>
      <c r="O761" s="630" t="s"/>
      <c r="P761" s="131" t="s">
        <f>=IF(O761&gt;0,"逾期","正常")</f>
        <v>32</v>
      </c>
      <c r="R761" s="624" t="s"/>
    </row>
    <row r="762" spans="1:18" s="57" customFormat="1">
      <c r="A762" s="631" t="s"/>
      <c r="B762" s="632" t="s"/>
      <c r="C762" s="633" t="s"/>
      <c r="D762" s="634" t="s">
        <v>36</v>
      </c>
      <c r="E762" s="634" t="s">
        <v>37</v>
      </c>
      <c r="F762" s="557">
        <v>0.5</v>
      </c>
      <c r="G762" s="636" t="s">
        <v>38</v>
      </c>
      <c r="H762" s="637" t="s">
        <f>=D759</f>
        <v>72</v>
      </c>
      <c r="I762" s="604" t="s"/>
      <c r="J762" s="604" t="s"/>
      <c r="K762" s="604" t="s"/>
      <c r="L762" s="638">
        <v>90</v>
      </c>
      <c r="M762" s="604" t="s"/>
      <c r="N762" s="639" t="s"/>
      <c r="O762" s="638" t="s"/>
      <c r="P762" s="433" t="s">
        <f>=IF(O762&gt;0,"逾期","正常")</f>
        <v>32</v>
      </c>
      <c r="Q762" s="640" t="s"/>
      <c r="R762" s="641" t="s"/>
    </row>
    <row r="763" spans="1:18" s="57" customFormat="1">
      <c r="A763" s="606" t="s">
        <v>615</v>
      </c>
      <c r="B763" s="607" t="s">
        <v>32</v>
      </c>
      <c r="C763" s="608" t="s">
        <v>371</v>
      </c>
      <c r="D763" s="609" t="s">
        <v>17</v>
      </c>
      <c r="E763" s="609" t="s">
        <v>18</v>
      </c>
      <c r="F763" s="599">
        <v>46120</v>
      </c>
      <c r="G763" s="610" t="s">
        <v>19</v>
      </c>
      <c r="H763" s="611" t="s">
        <v>63</v>
      </c>
      <c r="I763" s="612">
        <f>=F763</f>
        <v>46120</v>
      </c>
      <c r="J763" s="599">
        <v>46140</v>
      </c>
      <c r="K763" s="599">
        <v>46138</v>
      </c>
      <c r="L763" s="613">
        <f>=J763-I763</f>
        <v>20</v>
      </c>
      <c r="M763" s="599">
        <v>46141</v>
      </c>
      <c r="N763" s="584">
        <f>=M763-I763</f>
        <v>21</v>
      </c>
      <c r="O763" s="655">
        <f>=IF(M763="",TODAY()-J763,M763-J763)</f>
        <v>1</v>
      </c>
      <c r="P763" s="131" t="s">
        <f>=IF(O763&gt;0,"逾期","正常")</f>
        <v>21</v>
      </c>
      <c r="Q763" s="615" t="s"/>
      <c r="R763" s="616" t="s"/>
    </row>
    <row r="764" spans="1:18" s="57" customFormat="1">
      <c r="A764" s="617" t="s"/>
      <c r="B764" s="618" t="s"/>
      <c r="C764" s="619" t="s"/>
      <c r="D764" s="620" t="s">
        <v>65</v>
      </c>
      <c r="E764" s="621" t="s">
        <v>23</v>
      </c>
      <c r="F764" s="622">
        <f>=F765-F763</f>
        <v>45</v>
      </c>
      <c r="G764" s="780" t="s">
        <v>24</v>
      </c>
      <c r="H764" s="780" t="s">
        <v>25</v>
      </c>
      <c r="I764" s="781">
        <f>=M763</f>
        <v>46141</v>
      </c>
      <c r="J764" s="781">
        <f>=F765</f>
        <v>46165</v>
      </c>
      <c r="K764" s="781">
        <f>=J764</f>
        <v>46165</v>
      </c>
      <c r="L764" s="791">
        <f>=J764-I764</f>
        <v>24</v>
      </c>
      <c r="M764" s="473" t="s"/>
      <c r="N764" s="467" t="s"/>
      <c r="O764" s="127">
        <f>=IF(M764="",TODAY()-J764,M764-J764)</f>
        <v>-15</v>
      </c>
      <c r="P764" s="131" t="s">
        <f>=IF(O764&gt;0,"逾期","正常")</f>
        <v>32</v>
      </c>
      <c r="Q764" s="623" t="s"/>
      <c r="R764" s="624" t="s"/>
    </row>
    <row r="765" spans="1:18" s="57" customFormat="1">
      <c r="A765" s="617" t="s"/>
      <c r="B765" s="618" t="s"/>
      <c r="C765" s="619" t="s"/>
      <c r="D765" s="621" t="s">
        <v>28</v>
      </c>
      <c r="E765" s="621" t="s">
        <v>29</v>
      </c>
      <c r="F765" s="601">
        <v>46165</v>
      </c>
      <c r="G765" s="630" t="s">
        <v>30</v>
      </c>
      <c r="H765" s="630" t="s">
        <v>31</v>
      </c>
      <c r="I765" s="651" t="s"/>
      <c r="J765" s="651" t="s"/>
      <c r="K765" s="651" t="s"/>
      <c r="L765" s="625">
        <v>7</v>
      </c>
      <c r="M765" s="651" t="s"/>
      <c r="N765" s="653" t="s"/>
      <c r="O765" s="630" t="s"/>
      <c r="P765" s="131" t="s">
        <f>=IF(O765&gt;0,"逾期","正常")</f>
        <v>32</v>
      </c>
      <c r="Q765" s="623" t="s"/>
      <c r="R765" s="624" t="s"/>
    </row>
    <row r="766" spans="1:18" s="57" customFormat="1">
      <c r="A766" s="617" t="s"/>
      <c r="B766" s="618" t="s"/>
      <c r="C766" s="619" t="s"/>
      <c r="D766" s="626" t="s">
        <v>51</v>
      </c>
      <c r="E766" s="621" t="s">
        <v>34</v>
      </c>
      <c r="F766" s="627">
        <f>=IF(M764="",TODAY()-F763,M764-F763)</f>
        <v>30</v>
      </c>
      <c r="G766" s="630" t="s">
        <v>35</v>
      </c>
      <c r="H766" s="630" t="s"/>
      <c r="I766" s="651" t="s"/>
      <c r="J766" s="651" t="s"/>
      <c r="K766" s="651" t="s"/>
      <c r="L766" s="630" t="s"/>
      <c r="M766" s="651" t="s"/>
      <c r="N766" s="630" t="s"/>
      <c r="O766" s="630" t="s"/>
      <c r="P766" s="131" t="s">
        <f>=IF(O766&gt;0,"逾期","正常")</f>
        <v>32</v>
      </c>
      <c r="Q766" s="623" t="s"/>
      <c r="R766" s="624" t="s"/>
    </row>
    <row r="767" spans="1:18" s="57" customFormat="1">
      <c r="A767" s="631" t="s"/>
      <c r="B767" s="632" t="s"/>
      <c r="C767" s="633" t="s"/>
      <c r="D767" s="634" t="s">
        <v>36</v>
      </c>
      <c r="E767" s="634" t="s">
        <v>37</v>
      </c>
      <c r="F767" s="557">
        <v>0.3</v>
      </c>
      <c r="G767" s="636" t="s">
        <v>38</v>
      </c>
      <c r="H767" s="637" t="s">
        <f>=D764</f>
        <v>65</v>
      </c>
      <c r="I767" s="604" t="s"/>
      <c r="J767" s="604" t="s"/>
      <c r="K767" s="604" t="s"/>
      <c r="L767" s="638">
        <v>90</v>
      </c>
      <c r="M767" s="604" t="s"/>
      <c r="N767" s="639" t="s"/>
      <c r="O767" s="638" t="s"/>
      <c r="P767" s="433" t="s">
        <f>=IF(O767&gt;0,"逾期","正常")</f>
        <v>32</v>
      </c>
      <c r="Q767" s="640" t="s"/>
      <c r="R767" s="641" t="s"/>
    </row>
    <row r="768" spans="1:18" s="57" customFormat="1">
      <c r="A768" s="606" t="s">
        <v>616</v>
      </c>
      <c r="B768" s="607" t="s">
        <v>32</v>
      </c>
      <c r="C768" s="608" t="s">
        <v>108</v>
      </c>
      <c r="D768" s="609" t="s">
        <v>17</v>
      </c>
      <c r="E768" s="609" t="s">
        <v>18</v>
      </c>
      <c r="F768" s="599">
        <v>46122</v>
      </c>
      <c r="G768" s="792" t="s">
        <v>19</v>
      </c>
      <c r="H768" s="793" t="s">
        <v>41</v>
      </c>
      <c r="I768" s="794">
        <f>=F768</f>
        <v>46122</v>
      </c>
      <c r="J768" s="795">
        <v>46142</v>
      </c>
      <c r="K768" s="795">
        <v>46140</v>
      </c>
      <c r="L768" s="796">
        <f>=J768-I768</f>
        <v>20</v>
      </c>
      <c r="M768" s="795" t="s"/>
      <c r="N768" s="584" t="s"/>
      <c r="O768" s="655">
        <f>=IF(M768="",TODAY()-J768,M768-J768)</f>
        <v>8</v>
      </c>
      <c r="P768" s="131" t="s">
        <f>=IF(O768&gt;0,"逾期","正常")</f>
        <v>21</v>
      </c>
      <c r="Q768" s="615" t="s">
        <v>617</v>
      </c>
      <c r="R768" s="616" t="s"/>
    </row>
    <row r="769" spans="1:18" s="57" customFormat="1">
      <c r="A769" s="617" t="s"/>
      <c r="B769" s="618" t="s"/>
      <c r="C769" s="619" t="s"/>
      <c r="D769" s="620" t="s">
        <v>65</v>
      </c>
      <c r="E769" s="621" t="s">
        <v>23</v>
      </c>
      <c r="F769" s="622">
        <f>=F770-F768</f>
        <v>45</v>
      </c>
      <c r="G769" s="479" t="s">
        <v>24</v>
      </c>
      <c r="H769" s="479" t="s">
        <v>50</v>
      </c>
      <c r="I769" s="134" t="s"/>
      <c r="J769" s="134" t="s"/>
      <c r="K769" s="134" t="s"/>
      <c r="L769" s="422">
        <f>=J769-I769</f>
        <v>0</v>
      </c>
      <c r="M769" s="406" t="s"/>
      <c r="N769" s="467" t="s"/>
      <c r="O769" s="127" t="s"/>
      <c r="P769" s="131" t="s">
        <f>=IF(O769&gt;0,"逾期","正常")</f>
        <v>32</v>
      </c>
      <c r="Q769" s="623" t="s"/>
      <c r="R769" s="624" t="s"/>
    </row>
    <row r="770" spans="1:18" s="57" customFormat="1">
      <c r="A770" s="617" t="s"/>
      <c r="B770" s="618" t="s"/>
      <c r="C770" s="619" t="s"/>
      <c r="D770" s="621" t="s">
        <v>28</v>
      </c>
      <c r="E770" s="621" t="s">
        <v>29</v>
      </c>
      <c r="F770" s="601">
        <v>46167</v>
      </c>
      <c r="G770" s="630" t="s">
        <v>30</v>
      </c>
      <c r="H770" s="630" t="s">
        <v>31</v>
      </c>
      <c r="I770" s="651" t="s"/>
      <c r="J770" s="651" t="s"/>
      <c r="K770" s="651" t="s"/>
      <c r="L770" s="625">
        <v>7</v>
      </c>
      <c r="M770" s="651" t="s"/>
      <c r="N770" s="653" t="s"/>
      <c r="O770" s="630" t="s"/>
      <c r="P770" s="131" t="s">
        <f>=IF(O770&gt;0,"逾期","正常")</f>
        <v>32</v>
      </c>
      <c r="Q770" s="623" t="s"/>
      <c r="R770" s="624" t="s"/>
    </row>
    <row r="771" spans="1:18" s="57" customFormat="1">
      <c r="A771" s="617" t="s"/>
      <c r="B771" s="618" t="s"/>
      <c r="C771" s="619" t="s"/>
      <c r="D771" s="626" t="s">
        <v>33</v>
      </c>
      <c r="E771" s="621" t="s">
        <v>34</v>
      </c>
      <c r="F771" s="627">
        <f>=IF(M769="",TODAY()-F768,M769-F768)</f>
        <v>28</v>
      </c>
      <c r="G771" s="630" t="s">
        <v>35</v>
      </c>
      <c r="H771" s="630" t="s"/>
      <c r="I771" s="651" t="s"/>
      <c r="J771" s="651" t="s"/>
      <c r="K771" s="651" t="s"/>
      <c r="L771" s="630" t="s"/>
      <c r="M771" s="651" t="s"/>
      <c r="N771" s="630" t="s"/>
      <c r="O771" s="630" t="s"/>
      <c r="P771" s="131" t="s">
        <f>=IF(O771&gt;0,"逾期","正常")</f>
        <v>32</v>
      </c>
      <c r="Q771" s="623" t="s"/>
      <c r="R771" s="624" t="s"/>
    </row>
    <row r="772" spans="1:18" s="57" customFormat="1">
      <c r="A772" s="631" t="s"/>
      <c r="B772" s="632" t="s"/>
      <c r="C772" s="633" t="s"/>
      <c r="D772" s="634" t="s">
        <v>36</v>
      </c>
      <c r="E772" s="634" t="s">
        <v>37</v>
      </c>
      <c r="F772" s="557">
        <v>0.3</v>
      </c>
      <c r="G772" s="636" t="s">
        <v>38</v>
      </c>
      <c r="H772" s="637" t="s">
        <f>=D769</f>
        <v>65</v>
      </c>
      <c r="I772" s="604" t="s"/>
      <c r="J772" s="604" t="s"/>
      <c r="K772" s="604" t="s"/>
      <c r="L772" s="638">
        <v>90</v>
      </c>
      <c r="M772" s="604" t="s"/>
      <c r="N772" s="639" t="s"/>
      <c r="O772" s="638" t="s"/>
      <c r="P772" s="433" t="s">
        <f>=IF(O772&gt;0,"逾期","正常")</f>
        <v>32</v>
      </c>
      <c r="Q772" s="640" t="s"/>
      <c r="R772" s="641" t="s"/>
    </row>
    <row r="773" spans="1:18" s="57" customFormat="1">
      <c r="A773" s="606" t="s">
        <v>618</v>
      </c>
      <c r="B773" s="607" t="s">
        <v>32</v>
      </c>
      <c r="C773" s="608" t="s">
        <v>210</v>
      </c>
      <c r="D773" s="609" t="s">
        <v>17</v>
      </c>
      <c r="E773" s="609" t="s">
        <v>18</v>
      </c>
      <c r="F773" s="599">
        <v>46122</v>
      </c>
      <c r="G773" s="610" t="s">
        <v>19</v>
      </c>
      <c r="H773" s="611" t="s">
        <v>309</v>
      </c>
      <c r="I773" s="612">
        <f>=F773</f>
        <v>46122</v>
      </c>
      <c r="J773" s="599">
        <v>46132</v>
      </c>
      <c r="K773" s="599">
        <v>46130</v>
      </c>
      <c r="L773" s="613">
        <f>=J773-I773</f>
        <v>10</v>
      </c>
      <c r="M773" s="599">
        <v>46135</v>
      </c>
      <c r="N773" s="584">
        <f>=M773-I773</f>
        <v>13</v>
      </c>
      <c r="O773" s="655">
        <f>=IF(M773="",TODAY()-J773,M773-J773)</f>
        <v>3</v>
      </c>
      <c r="P773" s="131" t="s">
        <f>=IF(O773&gt;0,"逾期","正常")</f>
        <v>21</v>
      </c>
      <c r="Q773" s="615" t="s">
        <v>619</v>
      </c>
      <c r="R773" s="616" t="s"/>
    </row>
    <row r="774" spans="1:18" s="57" customFormat="1">
      <c r="A774" s="617" t="s"/>
      <c r="B774" s="618" t="s"/>
      <c r="C774" s="619" t="s"/>
      <c r="D774" s="620" t="s">
        <v>42</v>
      </c>
      <c r="E774" s="621" t="s">
        <v>23</v>
      </c>
      <c r="F774" s="622">
        <f>=F775-F773</f>
        <v>35</v>
      </c>
      <c r="G774" s="780" t="s">
        <v>24</v>
      </c>
      <c r="H774" s="780" t="s">
        <v>50</v>
      </c>
      <c r="I774" s="781">
        <f>=M773</f>
        <v>46135</v>
      </c>
      <c r="J774" s="781">
        <f>=F775</f>
        <v>46157</v>
      </c>
      <c r="K774" s="781">
        <f>=J774</f>
        <v>46157</v>
      </c>
      <c r="L774" s="791">
        <f>=J774-I774</f>
        <v>22</v>
      </c>
      <c r="M774" s="473" t="s"/>
      <c r="N774" s="467" t="s"/>
      <c r="O774" s="127">
        <f>=IF(M774="",TODAY()-J774,M774-J774)</f>
        <v>-7</v>
      </c>
      <c r="P774" s="131" t="s">
        <f>=IF(O774&gt;0,"逾期","正常")</f>
        <v>32</v>
      </c>
      <c r="Q774" s="623" t="s">
        <v>595</v>
      </c>
      <c r="R774" s="624" t="s"/>
    </row>
    <row r="775" spans="1:18" s="57" customFormat="1">
      <c r="A775" s="617" t="s"/>
      <c r="B775" s="618" t="s"/>
      <c r="C775" s="619" t="s"/>
      <c r="D775" s="621" t="s">
        <v>28</v>
      </c>
      <c r="E775" s="621" t="s">
        <v>29</v>
      </c>
      <c r="F775" s="601">
        <v>46157</v>
      </c>
      <c r="G775" s="630" t="s">
        <v>30</v>
      </c>
      <c r="H775" s="630" t="s">
        <v>31</v>
      </c>
      <c r="I775" s="651" t="s"/>
      <c r="J775" s="651" t="s"/>
      <c r="K775" s="651" t="s"/>
      <c r="L775" s="625">
        <v>7</v>
      </c>
      <c r="M775" s="651" t="s"/>
      <c r="N775" s="653" t="s"/>
      <c r="O775" s="630" t="s"/>
      <c r="P775" s="131" t="s">
        <f>=IF(O775&gt;0,"逾期","正常")</f>
        <v>32</v>
      </c>
      <c r="Q775" s="623" t="s"/>
      <c r="R775" s="624" t="s"/>
    </row>
    <row r="776" spans="1:18" s="57" customFormat="1">
      <c r="A776" s="617" t="s"/>
      <c r="B776" s="618" t="s"/>
      <c r="C776" s="619" t="s"/>
      <c r="D776" s="626" t="s">
        <v>46</v>
      </c>
      <c r="E776" s="621" t="s">
        <v>34</v>
      </c>
      <c r="F776" s="627">
        <f>=IF(M774="",TODAY()-F773,M774-F773)</f>
        <v>28</v>
      </c>
      <c r="G776" s="630" t="s">
        <v>35</v>
      </c>
      <c r="H776" s="630" t="s"/>
      <c r="I776" s="651" t="s"/>
      <c r="J776" s="651" t="s"/>
      <c r="K776" s="651" t="s"/>
      <c r="L776" s="630" t="s"/>
      <c r="M776" s="651" t="s"/>
      <c r="N776" s="630" t="s"/>
      <c r="O776" s="630" t="s"/>
      <c r="P776" s="131" t="s">
        <f>=IF(O776&gt;0,"逾期","正常")</f>
        <v>32</v>
      </c>
      <c r="Q776" s="623" t="s"/>
      <c r="R776" s="624" t="s"/>
    </row>
    <row r="777" spans="1:18" s="57" customFormat="1">
      <c r="A777" s="631" t="s"/>
      <c r="B777" s="632" t="s"/>
      <c r="C777" s="633" t="s"/>
      <c r="D777" s="634" t="s">
        <v>36</v>
      </c>
      <c r="E777" s="634" t="s">
        <v>37</v>
      </c>
      <c r="F777" s="557">
        <v>0.4</v>
      </c>
      <c r="G777" s="636" t="s">
        <v>38</v>
      </c>
      <c r="H777" s="637" t="s">
        <f>=D774</f>
        <v>42</v>
      </c>
      <c r="I777" s="604" t="s"/>
      <c r="J777" s="604" t="s"/>
      <c r="K777" s="604" t="s"/>
      <c r="L777" s="638">
        <v>90</v>
      </c>
      <c r="M777" s="604" t="s"/>
      <c r="N777" s="639" t="s"/>
      <c r="O777" s="638" t="s"/>
      <c r="P777" s="433" t="s">
        <f>=IF(O777&gt;0,"逾期","正常")</f>
        <v>32</v>
      </c>
      <c r="Q777" s="640" t="s"/>
      <c r="R777" s="641" t="s"/>
    </row>
    <row r="778" spans="1:18" s="57" customFormat="1">
      <c r="A778" s="606" t="s">
        <v>620</v>
      </c>
      <c r="B778" s="607" t="s">
        <v>32</v>
      </c>
      <c r="C778" s="608" t="s">
        <v>371</v>
      </c>
      <c r="D778" s="609" t="s">
        <v>17</v>
      </c>
      <c r="E778" s="609" t="s">
        <v>18</v>
      </c>
      <c r="F778" s="599">
        <v>46122</v>
      </c>
      <c r="G778" s="610" t="s">
        <v>19</v>
      </c>
      <c r="H778" s="611" t="s">
        <v>49</v>
      </c>
      <c r="I778" s="612">
        <f>=F778</f>
        <v>46122</v>
      </c>
      <c r="J778" s="599">
        <v>46132</v>
      </c>
      <c r="K778" s="599">
        <v>46130</v>
      </c>
      <c r="L778" s="613">
        <f>=J778-I778</f>
        <v>10</v>
      </c>
      <c r="M778" s="599">
        <v>46129</v>
      </c>
      <c r="N778" s="584">
        <f>=M778-I778</f>
        <v>7</v>
      </c>
      <c r="O778" s="655">
        <f>=IF(M778="",TODAY()-J778,M778-J778)</f>
        <v>-3</v>
      </c>
      <c r="P778" s="131" t="s">
        <f>=IF(O778&gt;0,"逾期","正常")</f>
        <v>32</v>
      </c>
      <c r="Q778" s="615" t="s"/>
      <c r="R778" s="616" t="s"/>
    </row>
    <row r="779" spans="1:18" s="57" customFormat="1">
      <c r="A779" s="617" t="s"/>
      <c r="B779" s="618" t="s"/>
      <c r="C779" s="619" t="s"/>
      <c r="D779" s="620" t="s">
        <v>42</v>
      </c>
      <c r="E779" s="621" t="s">
        <v>23</v>
      </c>
      <c r="F779" s="622">
        <f>=F780-F778</f>
        <v>30</v>
      </c>
      <c r="G779" s="780" t="s">
        <v>24</v>
      </c>
      <c r="H779" s="780" t="s">
        <v>25</v>
      </c>
      <c r="I779" s="781">
        <f>=M778</f>
        <v>46129</v>
      </c>
      <c r="J779" s="781">
        <f>=F780</f>
        <v>46152</v>
      </c>
      <c r="K779" s="781">
        <f>=J779</f>
        <v>46152</v>
      </c>
      <c r="L779" s="791">
        <f>=J779-I779</f>
        <v>23</v>
      </c>
      <c r="M779" s="473" t="s"/>
      <c r="N779" s="467" t="s"/>
      <c r="O779" s="127">
        <f>=IF(M779="",TODAY()-J779,M779-J779)</f>
        <v>-2</v>
      </c>
      <c r="P779" s="131" t="s">
        <f>=IF(O779&gt;0,"逾期","正常")</f>
        <v>32</v>
      </c>
      <c r="Q779" s="623" t="s"/>
      <c r="R779" s="624" t="s"/>
    </row>
    <row r="780" spans="1:18" s="57" customFormat="1">
      <c r="A780" s="617" t="s"/>
      <c r="B780" s="618" t="s"/>
      <c r="C780" s="619" t="s"/>
      <c r="D780" s="621" t="s">
        <v>28</v>
      </c>
      <c r="E780" s="621" t="s">
        <v>29</v>
      </c>
      <c r="F780" s="601">
        <v>46152</v>
      </c>
      <c r="G780" s="630" t="s">
        <v>30</v>
      </c>
      <c r="H780" s="630" t="s">
        <v>31</v>
      </c>
      <c r="I780" s="651" t="s"/>
      <c r="J780" s="651" t="s"/>
      <c r="K780" s="651" t="s"/>
      <c r="L780" s="625">
        <v>7</v>
      </c>
      <c r="M780" s="651" t="s"/>
      <c r="N780" s="653" t="s"/>
      <c r="O780" s="630" t="s"/>
      <c r="P780" s="131" t="s">
        <f>=IF(O780&gt;0,"逾期","正常")</f>
        <v>32</v>
      </c>
      <c r="Q780" s="623" t="s"/>
      <c r="R780" s="624" t="s"/>
    </row>
    <row r="781" spans="1:18" s="57" customFormat="1">
      <c r="A781" s="617" t="s"/>
      <c r="B781" s="618" t="s"/>
      <c r="C781" s="619" t="s"/>
      <c r="D781" s="626" t="s">
        <v>46</v>
      </c>
      <c r="E781" s="621" t="s">
        <v>34</v>
      </c>
      <c r="F781" s="627">
        <f>=IF(M779="",TODAY()-F778,M779-F778)</f>
        <v>28</v>
      </c>
      <c r="G781" s="630" t="s">
        <v>35</v>
      </c>
      <c r="H781" s="630" t="s"/>
      <c r="I781" s="651" t="s"/>
      <c r="J781" s="651" t="s"/>
      <c r="K781" s="651" t="s"/>
      <c r="L781" s="630" t="s"/>
      <c r="M781" s="651" t="s"/>
      <c r="N781" s="630" t="s"/>
      <c r="O781" s="630" t="s"/>
      <c r="P781" s="131" t="s">
        <f>=IF(O781&gt;0,"逾期","正常")</f>
        <v>32</v>
      </c>
      <c r="Q781" s="623" t="s"/>
      <c r="R781" s="624" t="s"/>
    </row>
    <row r="782" spans="1:18" s="57" customFormat="1">
      <c r="A782" s="631" t="s"/>
      <c r="B782" s="632" t="s"/>
      <c r="C782" s="633" t="s"/>
      <c r="D782" s="634" t="s">
        <v>36</v>
      </c>
      <c r="E782" s="634" t="s">
        <v>37</v>
      </c>
      <c r="F782" s="557">
        <v>0.4</v>
      </c>
      <c r="G782" s="636" t="s">
        <v>38</v>
      </c>
      <c r="H782" s="637" t="s">
        <f>=D779</f>
        <v>42</v>
      </c>
      <c r="I782" s="604" t="s"/>
      <c r="J782" s="604" t="s"/>
      <c r="K782" s="604" t="s"/>
      <c r="L782" s="638">
        <v>90</v>
      </c>
      <c r="M782" s="604" t="s"/>
      <c r="N782" s="639" t="s"/>
      <c r="O782" s="638" t="s"/>
      <c r="P782" s="433" t="s">
        <f>=IF(O782&gt;0,"逾期","正常")</f>
        <v>32</v>
      </c>
      <c r="Q782" s="640" t="s"/>
      <c r="R782" s="641" t="s"/>
    </row>
    <row r="783" spans="1:18" s="57" customFormat="1">
      <c r="A783" s="606" t="s">
        <v>621</v>
      </c>
      <c r="B783" s="607" t="s">
        <v>32</v>
      </c>
      <c r="C783" s="608" t="s">
        <v>48</v>
      </c>
      <c r="D783" s="609" t="s">
        <v>17</v>
      </c>
      <c r="E783" s="609" t="s">
        <v>18</v>
      </c>
      <c r="F783" s="599">
        <v>46125</v>
      </c>
      <c r="G783" s="610" t="s">
        <v>19</v>
      </c>
      <c r="H783" s="611" t="s">
        <v>20</v>
      </c>
      <c r="I783" s="612">
        <f>=F783</f>
        <v>46125</v>
      </c>
      <c r="J783" s="599">
        <v>46140</v>
      </c>
      <c r="K783" s="599">
        <v>46137</v>
      </c>
      <c r="L783" s="613">
        <f>=J783-I783</f>
        <v>15</v>
      </c>
      <c r="M783" s="599">
        <v>46123</v>
      </c>
      <c r="N783" s="584">
        <f>=M783-I783</f>
        <v>-2</v>
      </c>
      <c r="O783" s="655">
        <f>=IF(M783="",TODAY()-J783,M783-J783)</f>
        <v>-17</v>
      </c>
      <c r="P783" s="131" t="s">
        <f>=IF(O783&gt;0,"逾期","正常")</f>
        <v>32</v>
      </c>
      <c r="Q783" s="623" t="s"/>
      <c r="R783" s="616" t="s"/>
    </row>
    <row r="784" spans="1:18" s="57" customFormat="1">
      <c r="A784" s="617" t="s"/>
      <c r="B784" s="618" t="s"/>
      <c r="C784" s="619" t="s"/>
      <c r="D784" s="620" t="s">
        <v>72</v>
      </c>
      <c r="E784" s="621" t="s">
        <v>23</v>
      </c>
      <c r="F784" s="622">
        <f>=F785-F783</f>
        <v>30</v>
      </c>
      <c r="G784" s="780" t="s">
        <v>24</v>
      </c>
      <c r="H784" s="780" t="s">
        <v>50</v>
      </c>
      <c r="I784" s="781">
        <f>=M783</f>
        <v>46123</v>
      </c>
      <c r="J784" s="781">
        <f>=F785</f>
        <v>46155</v>
      </c>
      <c r="K784" s="781">
        <f>=J784</f>
        <v>46155</v>
      </c>
      <c r="L784" s="791">
        <f>=J784-I784</f>
        <v>32</v>
      </c>
      <c r="M784" s="473" t="s"/>
      <c r="N784" s="467" t="s"/>
      <c r="O784" s="127">
        <f>=IF(M784="",TODAY()-J784,M784-J784)</f>
        <v>-5</v>
      </c>
      <c r="P784" s="131" t="s">
        <f>=IF(O784&gt;0,"逾期","正常")</f>
        <v>32</v>
      </c>
      <c r="Q784" s="623" t="s">
        <v>595</v>
      </c>
      <c r="R784" s="624" t="s"/>
    </row>
    <row r="785" spans="1:18" s="57" customFormat="1">
      <c r="A785" s="617" t="s"/>
      <c r="B785" s="618" t="s"/>
      <c r="C785" s="619" t="s"/>
      <c r="D785" s="621" t="s">
        <v>28</v>
      </c>
      <c r="E785" s="621" t="s">
        <v>29</v>
      </c>
      <c r="F785" s="601">
        <v>46155</v>
      </c>
      <c r="G785" s="625" t="s">
        <v>30</v>
      </c>
      <c r="H785" s="625" t="s">
        <v>31</v>
      </c>
      <c r="I785" s="601" t="s"/>
      <c r="J785" s="601" t="s"/>
      <c r="K785" s="601" t="s"/>
      <c r="L785" s="625">
        <v>7</v>
      </c>
      <c r="M785" s="601" t="s"/>
      <c r="N785" s="653" t="s"/>
      <c r="O785" s="630" t="s"/>
      <c r="P785" s="131" t="s">
        <f>=IF(O785&gt;0,"逾期","正常")</f>
        <v>32</v>
      </c>
      <c r="Q785" s="623" t="s">
        <v>622</v>
      </c>
      <c r="R785" s="624" t="s"/>
    </row>
    <row r="786" spans="1:18" s="57" customFormat="1">
      <c r="A786" s="617" t="s"/>
      <c r="B786" s="618" t="s"/>
      <c r="C786" s="619" t="s"/>
      <c r="D786" s="626" t="s">
        <v>46</v>
      </c>
      <c r="E786" s="621" t="s">
        <v>34</v>
      </c>
      <c r="F786" s="627">
        <f>=IF(M784="",TODAY()-F783,M784-F783)</f>
        <v>25</v>
      </c>
      <c r="G786" s="625" t="s">
        <v>35</v>
      </c>
      <c r="H786" s="625" t="s"/>
      <c r="I786" s="601" t="s"/>
      <c r="J786" s="601" t="s"/>
      <c r="K786" s="601" t="s"/>
      <c r="L786" s="625" t="s"/>
      <c r="M786" s="601" t="s"/>
      <c r="N786" s="630" t="s"/>
      <c r="O786" s="630" t="s"/>
      <c r="P786" s="131" t="s">
        <f>=IF(O786&gt;0,"逾期","正常")</f>
        <v>32</v>
      </c>
      <c r="Q786" s="623" t="s"/>
      <c r="R786" s="624" t="s"/>
    </row>
    <row r="787" spans="1:18" s="57" customFormat="1">
      <c r="A787" s="631" t="s"/>
      <c r="B787" s="632" t="s"/>
      <c r="C787" s="633" t="s"/>
      <c r="D787" s="634" t="s">
        <v>36</v>
      </c>
      <c r="E787" s="634" t="s">
        <v>37</v>
      </c>
      <c r="F787" s="557">
        <v>0.5</v>
      </c>
      <c r="G787" s="685" t="s">
        <v>38</v>
      </c>
      <c r="H787" s="637" t="s">
        <f>=D784</f>
        <v>72</v>
      </c>
      <c r="I787" s="686" t="s"/>
      <c r="J787" s="686" t="s"/>
      <c r="K787" s="686" t="s"/>
      <c r="L787" s="687">
        <v>90</v>
      </c>
      <c r="M787" s="686" t="s"/>
      <c r="N787" s="639" t="s"/>
      <c r="O787" s="638" t="s"/>
      <c r="P787" s="433" t="s">
        <f>=IF(O787&gt;0,"逾期","正常")</f>
        <v>32</v>
      </c>
      <c r="Q787" s="640" t="s"/>
      <c r="R787" s="641" t="s"/>
    </row>
    <row r="788" spans="1:18" s="57" customFormat="1">
      <c r="A788" s="606" t="s">
        <v>623</v>
      </c>
      <c r="B788" s="607" t="s">
        <v>32</v>
      </c>
      <c r="C788" s="608" t="s">
        <v>624</v>
      </c>
      <c r="D788" s="609" t="s">
        <v>17</v>
      </c>
      <c r="E788" s="609" t="s">
        <v>18</v>
      </c>
      <c r="F788" s="599">
        <v>46125</v>
      </c>
      <c r="G788" s="610" t="s">
        <v>19</v>
      </c>
      <c r="H788" s="611" t="s">
        <v>49</v>
      </c>
      <c r="I788" s="612">
        <f>=F788</f>
        <v>46125</v>
      </c>
      <c r="J788" s="599">
        <v>46140</v>
      </c>
      <c r="K788" s="599">
        <v>46137</v>
      </c>
      <c r="L788" s="613">
        <f>=J788-I788</f>
        <v>15</v>
      </c>
      <c r="M788" s="599">
        <v>46127</v>
      </c>
      <c r="N788" s="584">
        <f>=M788-I788</f>
        <v>2</v>
      </c>
      <c r="O788" s="655">
        <f>=IF(M788="",TODAY()-J788,M788-J788)</f>
        <v>-13</v>
      </c>
      <c r="P788" s="131" t="s">
        <f>=IF(O788&gt;0,"逾期","正常")</f>
        <v>32</v>
      </c>
      <c r="Q788" s="615" t="s"/>
      <c r="R788" s="616" t="s"/>
    </row>
    <row r="789" spans="1:18" s="57" customFormat="1">
      <c r="A789" s="617" t="s"/>
      <c r="B789" s="618" t="s"/>
      <c r="C789" s="619" t="s"/>
      <c r="D789" s="620" t="s">
        <v>72</v>
      </c>
      <c r="E789" s="621" t="s">
        <v>23</v>
      </c>
      <c r="F789" s="622">
        <f>=F790-F788</f>
        <v>30</v>
      </c>
      <c r="G789" s="780" t="s">
        <v>24</v>
      </c>
      <c r="H789" s="780" t="s">
        <v>50</v>
      </c>
      <c r="I789" s="781">
        <f>=M788</f>
        <v>46127</v>
      </c>
      <c r="J789" s="781">
        <f>=F790</f>
        <v>46155</v>
      </c>
      <c r="K789" s="797">
        <f>=J789</f>
        <v>46155</v>
      </c>
      <c r="L789" s="791">
        <f>=J789-I789</f>
        <v>28</v>
      </c>
      <c r="M789" s="473" t="s"/>
      <c r="N789" s="467" t="s"/>
      <c r="O789" s="127">
        <f>=IF(M789="",TODAY()-J789,M789-J789)</f>
        <v>-5</v>
      </c>
      <c r="P789" s="131" t="s">
        <f>=IF(O789&gt;0,"逾期","正常")</f>
        <v>32</v>
      </c>
      <c r="Q789" s="623" t="s">
        <v>595</v>
      </c>
      <c r="R789" s="624" t="s"/>
    </row>
    <row r="790" spans="1:18" s="57" customFormat="1">
      <c r="A790" s="617" t="s"/>
      <c r="B790" s="618" t="s"/>
      <c r="C790" s="619" t="s"/>
      <c r="D790" s="621" t="s">
        <v>28</v>
      </c>
      <c r="E790" s="621" t="s">
        <v>29</v>
      </c>
      <c r="F790" s="601">
        <v>46155</v>
      </c>
      <c r="G790" s="625" t="s">
        <v>30</v>
      </c>
      <c r="H790" s="625" t="s">
        <v>31</v>
      </c>
      <c r="I790" s="601" t="s"/>
      <c r="J790" s="601" t="s"/>
      <c r="K790" s="601" t="s"/>
      <c r="L790" s="625">
        <v>7</v>
      </c>
      <c r="M790" s="601" t="s"/>
      <c r="N790" s="653" t="s"/>
      <c r="O790" s="630" t="s"/>
      <c r="P790" s="131" t="s">
        <f>=IF(O790&gt;0,"逾期","正常")</f>
        <v>32</v>
      </c>
      <c r="Q790" s="623" t="s">
        <v>622</v>
      </c>
      <c r="R790" s="624" t="s"/>
    </row>
    <row r="791" spans="1:18" s="57" customFormat="1">
      <c r="A791" s="617" t="s"/>
      <c r="B791" s="618" t="s"/>
      <c r="C791" s="619" t="s"/>
      <c r="D791" s="626" t="s">
        <v>46</v>
      </c>
      <c r="E791" s="621" t="s">
        <v>34</v>
      </c>
      <c r="F791" s="627">
        <f>=IF(M789="",TODAY()-F788,M789-F788)</f>
        <v>25</v>
      </c>
      <c r="G791" s="625" t="s">
        <v>35</v>
      </c>
      <c r="H791" s="625" t="s"/>
      <c r="I791" s="601" t="s"/>
      <c r="J791" s="601" t="s"/>
      <c r="K791" s="601" t="s"/>
      <c r="L791" s="625" t="s"/>
      <c r="M791" s="601" t="s"/>
      <c r="N791" s="630" t="s"/>
      <c r="O791" s="630" t="s"/>
      <c r="P791" s="131" t="s">
        <f>=IF(O791&gt;0,"逾期","正常")</f>
        <v>32</v>
      </c>
      <c r="Q791" s="623" t="s"/>
      <c r="R791" s="624" t="s"/>
    </row>
    <row r="792" spans="1:18" s="57" customFormat="1">
      <c r="A792" s="631" t="s"/>
      <c r="B792" s="632" t="s"/>
      <c r="C792" s="633" t="s"/>
      <c r="D792" s="634" t="s">
        <v>36</v>
      </c>
      <c r="E792" s="634" t="s">
        <v>37</v>
      </c>
      <c r="F792" s="557">
        <v>0.5</v>
      </c>
      <c r="G792" s="685" t="s">
        <v>38</v>
      </c>
      <c r="H792" s="637" t="s">
        <f>=D789</f>
        <v>72</v>
      </c>
      <c r="I792" s="686" t="s"/>
      <c r="J792" s="686" t="s"/>
      <c r="K792" s="686" t="s"/>
      <c r="L792" s="687">
        <v>90</v>
      </c>
      <c r="M792" s="686" t="s"/>
      <c r="N792" s="639" t="s"/>
      <c r="O792" s="638" t="s"/>
      <c r="P792" s="433" t="s">
        <f>=IF(O792&gt;0,"逾期","正常")</f>
        <v>32</v>
      </c>
      <c r="Q792" s="640" t="s"/>
      <c r="R792" s="641" t="s"/>
    </row>
    <row r="793" spans="1:18" s="57" customFormat="1">
      <c r="A793" s="606" t="s">
        <v>625</v>
      </c>
      <c r="B793" s="607" t="s">
        <v>32</v>
      </c>
      <c r="C793" s="608" t="s">
        <v>626</v>
      </c>
      <c r="D793" s="609" t="s">
        <v>17</v>
      </c>
      <c r="E793" s="609" t="s">
        <v>18</v>
      </c>
      <c r="F793" s="599">
        <v>46127</v>
      </c>
      <c r="G793" s="610" t="s">
        <v>19</v>
      </c>
      <c r="H793" s="611" t="s">
        <v>63</v>
      </c>
      <c r="I793" s="612">
        <f>=F793</f>
        <v>46127</v>
      </c>
      <c r="J793" s="599">
        <v>46145</v>
      </c>
      <c r="K793" s="599">
        <v>46142</v>
      </c>
      <c r="L793" s="613">
        <f>=J793-I793</f>
        <v>18</v>
      </c>
      <c r="M793" s="599">
        <v>46149</v>
      </c>
      <c r="N793" s="584">
        <f>=M793-I793</f>
        <v>22</v>
      </c>
      <c r="O793" s="655">
        <f>=IF(M793="",TODAY()-J793,M793-J793)</f>
        <v>4</v>
      </c>
      <c r="P793" s="131" t="s">
        <f>=IF(O793&gt;0,"逾期","正常")</f>
        <v>21</v>
      </c>
      <c r="Q793" s="615" t="s">
        <v>627</v>
      </c>
      <c r="R793" s="616" t="s"/>
    </row>
    <row r="794" spans="1:18" s="57" customFormat="1">
      <c r="A794" s="617" t="s"/>
      <c r="B794" s="618" t="s"/>
      <c r="C794" s="619" t="s"/>
      <c r="D794" s="620" t="s">
        <v>22</v>
      </c>
      <c r="E794" s="621" t="s">
        <v>23</v>
      </c>
      <c r="F794" s="622">
        <f>=F795-F793</f>
        <v>36</v>
      </c>
      <c r="G794" s="780" t="s">
        <v>24</v>
      </c>
      <c r="H794" s="780" t="s">
        <v>25</v>
      </c>
      <c r="I794" s="781">
        <f>=M793</f>
        <v>46149</v>
      </c>
      <c r="J794" s="781">
        <f>=F795</f>
        <v>46163</v>
      </c>
      <c r="K794" s="797">
        <f>=J794</f>
        <v>46163</v>
      </c>
      <c r="L794" s="791">
        <f>=J794-I794</f>
        <v>14</v>
      </c>
      <c r="M794" s="473" t="s"/>
      <c r="N794" s="467" t="s"/>
      <c r="O794" s="127">
        <f>=IF(M794="",TODAY()-J794,M794-J794)</f>
        <v>-13</v>
      </c>
      <c r="P794" s="131" t="s">
        <f>=IF(O794&gt;0,"逾期","正常")</f>
        <v>32</v>
      </c>
      <c r="Q794" s="623" t="s">
        <v>628</v>
      </c>
      <c r="R794" s="624" t="s"/>
    </row>
    <row r="795" spans="1:18" s="57" customFormat="1">
      <c r="A795" s="617" t="s"/>
      <c r="B795" s="618" t="s"/>
      <c r="C795" s="619" t="s"/>
      <c r="D795" s="621" t="s">
        <v>28</v>
      </c>
      <c r="E795" s="621" t="s">
        <v>29</v>
      </c>
      <c r="F795" s="601">
        <v>46163</v>
      </c>
      <c r="G795" s="625" t="s">
        <v>30</v>
      </c>
      <c r="H795" s="625" t="s">
        <v>31</v>
      </c>
      <c r="I795" s="601" t="s"/>
      <c r="J795" s="601" t="s"/>
      <c r="K795" s="601" t="s"/>
      <c r="L795" s="625">
        <v>7</v>
      </c>
      <c r="M795" s="601" t="s"/>
      <c r="N795" s="653" t="s"/>
      <c r="O795" s="630" t="s"/>
      <c r="P795" s="131" t="s">
        <f>=IF(O795&gt;0,"逾期","正常")</f>
        <v>32</v>
      </c>
      <c r="Q795" s="623" t="s"/>
      <c r="R795" s="624" t="s"/>
    </row>
    <row r="796" spans="1:18" s="57" customFormat="1">
      <c r="A796" s="617" t="s"/>
      <c r="B796" s="618" t="s"/>
      <c r="C796" s="619" t="s"/>
      <c r="D796" s="626" t="s">
        <v>51</v>
      </c>
      <c r="E796" s="621" t="s">
        <v>34</v>
      </c>
      <c r="F796" s="627">
        <f>=IF(M794="",TODAY()-F793,M794-F793)</f>
        <v>23</v>
      </c>
      <c r="G796" s="625" t="s">
        <v>35</v>
      </c>
      <c r="H796" s="625" t="s"/>
      <c r="I796" s="601" t="s"/>
      <c r="J796" s="601" t="s"/>
      <c r="K796" s="601" t="s"/>
      <c r="L796" s="625" t="s"/>
      <c r="M796" s="601" t="s"/>
      <c r="N796" s="630" t="s"/>
      <c r="O796" s="630" t="s"/>
      <c r="P796" s="131" t="s">
        <f>=IF(O796&gt;0,"逾期","正常")</f>
        <v>32</v>
      </c>
      <c r="Q796" s="623" t="s"/>
      <c r="R796" s="624" t="s"/>
    </row>
    <row r="797" spans="1:18" s="57" customFormat="1">
      <c r="A797" s="631" t="s"/>
      <c r="B797" s="632" t="s"/>
      <c r="C797" s="633" t="s"/>
      <c r="D797" s="634" t="s">
        <v>36</v>
      </c>
      <c r="E797" s="634" t="s">
        <v>37</v>
      </c>
      <c r="F797" s="557">
        <v>0.3</v>
      </c>
      <c r="G797" s="685" t="s">
        <v>38</v>
      </c>
      <c r="H797" s="637" t="s">
        <f>=D794</f>
        <v>22</v>
      </c>
      <c r="I797" s="686" t="s"/>
      <c r="J797" s="686" t="s"/>
      <c r="K797" s="686" t="s"/>
      <c r="L797" s="687">
        <v>90</v>
      </c>
      <c r="M797" s="686" t="s"/>
      <c r="N797" s="639" t="s"/>
      <c r="O797" s="638" t="s"/>
      <c r="P797" s="433" t="s">
        <f>=IF(O797&gt;0,"逾期","正常")</f>
        <v>32</v>
      </c>
      <c r="Q797" s="640" t="s"/>
      <c r="R797" s="641" t="s"/>
    </row>
    <row r="798" spans="1:18" s="57" customFormat="1">
      <c r="A798" s="606" t="s">
        <v>629</v>
      </c>
      <c r="B798" s="607" t="s">
        <v>32</v>
      </c>
      <c r="C798" s="608" t="s">
        <v>108</v>
      </c>
      <c r="D798" s="609" t="s">
        <v>17</v>
      </c>
      <c r="E798" s="609" t="s">
        <v>18</v>
      </c>
      <c r="F798" s="599">
        <v>46127</v>
      </c>
      <c r="G798" s="610" t="s">
        <v>19</v>
      </c>
      <c r="H798" s="611" t="s">
        <v>309</v>
      </c>
      <c r="I798" s="612">
        <f>=F798</f>
        <v>46127</v>
      </c>
      <c r="J798" s="599">
        <v>46142</v>
      </c>
      <c r="K798" s="599">
        <v>46139</v>
      </c>
      <c r="L798" s="613">
        <f>=J798-I798</f>
        <v>15</v>
      </c>
      <c r="M798" s="599">
        <v>46139</v>
      </c>
      <c r="N798" s="584">
        <f>=M798-I798</f>
        <v>12</v>
      </c>
      <c r="O798" s="655">
        <f>=IF(M798="",TODAY()-J798,M798-J798)</f>
        <v>-3</v>
      </c>
      <c r="P798" s="131" t="s">
        <f>=IF(O798&gt;0,"逾期","正常")</f>
        <v>32</v>
      </c>
      <c r="Q798" s="615" t="s"/>
      <c r="R798" s="616" t="s"/>
    </row>
    <row r="799" spans="1:18" s="57" customFormat="1">
      <c r="A799" s="617" t="s"/>
      <c r="B799" s="618" t="s"/>
      <c r="C799" s="619" t="s"/>
      <c r="D799" s="620" t="s">
        <v>227</v>
      </c>
      <c r="E799" s="621" t="s">
        <v>23</v>
      </c>
      <c r="F799" s="622">
        <f>=F800-F798</f>
        <v>36</v>
      </c>
      <c r="G799" s="780" t="s">
        <v>24</v>
      </c>
      <c r="H799" s="780" t="s">
        <v>50</v>
      </c>
      <c r="I799" s="781">
        <f>=M798</f>
        <v>46139</v>
      </c>
      <c r="J799" s="781">
        <f>=F800</f>
        <v>46163</v>
      </c>
      <c r="K799" s="797">
        <f>=J799</f>
        <v>46163</v>
      </c>
      <c r="L799" s="791">
        <f>=J799-I799</f>
        <v>24</v>
      </c>
      <c r="M799" s="473" t="s"/>
      <c r="N799" s="467" t="s"/>
      <c r="O799" s="127">
        <f>=IF(M799="",TODAY()-J799,M799-J799)</f>
        <v>-13</v>
      </c>
      <c r="P799" s="131" t="s">
        <f>=IF(O799&gt;0,"逾期","正常")</f>
        <v>32</v>
      </c>
      <c r="Q799" s="623" t="s"/>
      <c r="R799" s="624" t="s"/>
    </row>
    <row r="800" spans="1:18" s="57" customFormat="1">
      <c r="A800" s="617" t="s"/>
      <c r="B800" s="618" t="s"/>
      <c r="C800" s="619" t="s"/>
      <c r="D800" s="621" t="s">
        <v>28</v>
      </c>
      <c r="E800" s="621" t="s">
        <v>29</v>
      </c>
      <c r="F800" s="601">
        <v>46163</v>
      </c>
      <c r="G800" s="625" t="s">
        <v>30</v>
      </c>
      <c r="H800" s="625" t="s">
        <v>31</v>
      </c>
      <c r="I800" s="601" t="s"/>
      <c r="J800" s="601" t="s"/>
      <c r="K800" s="601" t="s"/>
      <c r="L800" s="625">
        <v>7</v>
      </c>
      <c r="M800" s="601" t="s"/>
      <c r="N800" s="653" t="s"/>
      <c r="O800" s="630" t="s"/>
      <c r="P800" s="131" t="s">
        <f>=IF(O800&gt;0,"逾期","正常")</f>
        <v>32</v>
      </c>
      <c r="Q800" s="623" t="s"/>
      <c r="R800" s="624" t="s"/>
    </row>
    <row r="801" spans="1:18" s="57" customFormat="1">
      <c r="A801" s="617" t="s"/>
      <c r="B801" s="618" t="s"/>
      <c r="C801" s="619" t="s"/>
      <c r="D801" s="626" t="s">
        <v>46</v>
      </c>
      <c r="E801" s="621" t="s">
        <v>34</v>
      </c>
      <c r="F801" s="627">
        <f>=IF(M799="",TODAY()-F798,M799-F798)</f>
        <v>23</v>
      </c>
      <c r="G801" s="625" t="s">
        <v>35</v>
      </c>
      <c r="H801" s="625" t="s"/>
      <c r="I801" s="601" t="s"/>
      <c r="J801" s="601" t="s"/>
      <c r="K801" s="601" t="s"/>
      <c r="L801" s="625" t="s"/>
      <c r="M801" s="601" t="s"/>
      <c r="N801" s="630" t="s"/>
      <c r="O801" s="630" t="s"/>
      <c r="P801" s="131" t="s">
        <f>=IF(O801&gt;0,"逾期","正常")</f>
        <v>32</v>
      </c>
      <c r="Q801" s="623" t="s"/>
      <c r="R801" s="624" t="s"/>
    </row>
    <row r="802" spans="1:18" s="57" customFormat="1">
      <c r="A802" s="631" t="s"/>
      <c r="B802" s="632" t="s"/>
      <c r="C802" s="633" t="s"/>
      <c r="D802" s="634" t="s">
        <v>36</v>
      </c>
      <c r="E802" s="634" t="s">
        <v>37</v>
      </c>
      <c r="F802" s="557">
        <v>0.2</v>
      </c>
      <c r="G802" s="685" t="s">
        <v>38</v>
      </c>
      <c r="H802" s="637" t="s">
        <f>=D799</f>
        <v>227</v>
      </c>
      <c r="I802" s="686" t="s"/>
      <c r="J802" s="686" t="s"/>
      <c r="K802" s="686" t="s"/>
      <c r="L802" s="687">
        <v>90</v>
      </c>
      <c r="M802" s="686" t="s"/>
      <c r="N802" s="639" t="s"/>
      <c r="O802" s="638" t="s"/>
      <c r="P802" s="433" t="s">
        <f>=IF(O802&gt;0,"逾期","正常")</f>
        <v>32</v>
      </c>
      <c r="Q802" s="640" t="s"/>
      <c r="R802" s="641" t="s"/>
    </row>
    <row r="803" spans="1:18" s="57" customFormat="1">
      <c r="A803" s="606" t="s">
        <v>630</v>
      </c>
      <c r="B803" s="607" t="s">
        <v>32</v>
      </c>
      <c r="C803" s="608" t="s">
        <v>89</v>
      </c>
      <c r="D803" s="609" t="s">
        <v>17</v>
      </c>
      <c r="E803" s="609" t="s">
        <v>18</v>
      </c>
      <c r="F803" s="599">
        <v>46127</v>
      </c>
      <c r="G803" s="610" t="s">
        <v>19</v>
      </c>
      <c r="H803" s="611" t="s">
        <v>49</v>
      </c>
      <c r="I803" s="612">
        <f>=F803</f>
        <v>46127</v>
      </c>
      <c r="J803" s="599">
        <v>46142</v>
      </c>
      <c r="K803" s="599">
        <v>46139</v>
      </c>
      <c r="L803" s="613">
        <f>=J803-I803</f>
        <v>15</v>
      </c>
      <c r="M803" s="599">
        <v>46140</v>
      </c>
      <c r="N803" s="584">
        <f>=M803-I803</f>
        <v>13</v>
      </c>
      <c r="O803" s="655">
        <f>=IF(M803="",TODAY()-J803,M803-J803)</f>
        <v>-2</v>
      </c>
      <c r="P803" s="131" t="s">
        <f>=IF(O803&gt;0,"逾期","正常")</f>
        <v>32</v>
      </c>
      <c r="Q803" s="615" t="s"/>
      <c r="R803" s="616" t="s"/>
    </row>
    <row r="804" spans="1:18" s="57" customFormat="1">
      <c r="A804" s="617" t="s"/>
      <c r="B804" s="618" t="s"/>
      <c r="C804" s="619" t="s"/>
      <c r="D804" s="620" t="s">
        <v>373</v>
      </c>
      <c r="E804" s="621" t="s">
        <v>23</v>
      </c>
      <c r="F804" s="622">
        <f>=F805-F803</f>
        <v>36</v>
      </c>
      <c r="G804" s="780" t="s">
        <v>24</v>
      </c>
      <c r="H804" s="780" t="s">
        <v>50</v>
      </c>
      <c r="I804" s="781">
        <f>=M803</f>
        <v>46140</v>
      </c>
      <c r="J804" s="781">
        <f>=F805</f>
        <v>46163</v>
      </c>
      <c r="K804" s="797">
        <f>=J804</f>
        <v>46163</v>
      </c>
      <c r="L804" s="791">
        <f>=J804-I804</f>
        <v>23</v>
      </c>
      <c r="M804" s="473" t="s"/>
      <c r="N804" s="467" t="s"/>
      <c r="O804" s="127">
        <f>=IF(M804="",TODAY()-J804,M804-J804)</f>
        <v>-13</v>
      </c>
      <c r="P804" s="131" t="s">
        <f>=IF(O804&gt;0,"逾期","正常")</f>
        <v>32</v>
      </c>
      <c r="Q804" s="623" t="s"/>
      <c r="R804" s="624" t="s"/>
    </row>
    <row r="805" spans="1:18" s="57" customFormat="1">
      <c r="A805" s="617" t="s"/>
      <c r="B805" s="618" t="s"/>
      <c r="C805" s="619" t="s"/>
      <c r="D805" s="621" t="s">
        <v>28</v>
      </c>
      <c r="E805" s="621" t="s">
        <v>29</v>
      </c>
      <c r="F805" s="601">
        <v>46163</v>
      </c>
      <c r="G805" s="625" t="s">
        <v>30</v>
      </c>
      <c r="H805" s="625" t="s">
        <v>31</v>
      </c>
      <c r="I805" s="601" t="s"/>
      <c r="J805" s="601" t="s"/>
      <c r="K805" s="601" t="s"/>
      <c r="L805" s="625">
        <v>7</v>
      </c>
      <c r="M805" s="601" t="s"/>
      <c r="N805" s="653" t="s"/>
      <c r="O805" s="630" t="s"/>
      <c r="P805" s="131" t="s">
        <f>=IF(O805&gt;0,"逾期","正常")</f>
        <v>32</v>
      </c>
      <c r="Q805" s="623" t="s"/>
      <c r="R805" s="624" t="s"/>
    </row>
    <row r="806" spans="1:18" s="57" customFormat="1">
      <c r="A806" s="617" t="s"/>
      <c r="B806" s="618" t="s"/>
      <c r="C806" s="619" t="s"/>
      <c r="D806" s="626" t="s">
        <v>46</v>
      </c>
      <c r="E806" s="621" t="s">
        <v>34</v>
      </c>
      <c r="F806" s="627">
        <f>=IF(M804="",TODAY()-F803,M804-F803)</f>
        <v>23</v>
      </c>
      <c r="G806" s="625" t="s">
        <v>35</v>
      </c>
      <c r="H806" s="625" t="s"/>
      <c r="I806" s="601" t="s"/>
      <c r="J806" s="601" t="s"/>
      <c r="K806" s="601" t="s"/>
      <c r="L806" s="625" t="s"/>
      <c r="M806" s="601" t="s"/>
      <c r="N806" s="630" t="s"/>
      <c r="O806" s="630" t="s"/>
      <c r="P806" s="131" t="s">
        <f>=IF(O806&gt;0,"逾期","正常")</f>
        <v>32</v>
      </c>
      <c r="Q806" s="623" t="s"/>
      <c r="R806" s="624" t="s"/>
    </row>
    <row r="807" spans="1:18" s="57" customFormat="1">
      <c r="A807" s="631" t="s"/>
      <c r="B807" s="632" t="s"/>
      <c r="C807" s="633" t="s"/>
      <c r="D807" s="634" t="s">
        <v>36</v>
      </c>
      <c r="E807" s="634" t="s">
        <v>37</v>
      </c>
      <c r="F807" s="557">
        <v>0.5</v>
      </c>
      <c r="G807" s="685" t="s">
        <v>38</v>
      </c>
      <c r="H807" s="637" t="s">
        <f>=D804</f>
        <v>373</v>
      </c>
      <c r="I807" s="686" t="s"/>
      <c r="J807" s="686" t="s"/>
      <c r="K807" s="686" t="s"/>
      <c r="L807" s="687">
        <v>90</v>
      </c>
      <c r="M807" s="686" t="s"/>
      <c r="N807" s="639" t="s"/>
      <c r="O807" s="638" t="s"/>
      <c r="P807" s="433" t="s">
        <f>=IF(O807&gt;0,"逾期","正常")</f>
        <v>32</v>
      </c>
      <c r="Q807" s="640" t="s"/>
      <c r="R807" s="641" t="s"/>
    </row>
    <row r="808" spans="1:18" s="57" customFormat="1">
      <c r="A808" s="606" t="s">
        <v>631</v>
      </c>
      <c r="B808" s="607" t="s">
        <v>32</v>
      </c>
      <c r="C808" s="608" t="s">
        <v>632</v>
      </c>
      <c r="D808" s="609" t="s">
        <v>17</v>
      </c>
      <c r="E808" s="609" t="s">
        <v>18</v>
      </c>
      <c r="F808" s="599">
        <v>46127</v>
      </c>
      <c r="G808" s="792" t="s">
        <v>19</v>
      </c>
      <c r="H808" s="793" t="s">
        <v>41</v>
      </c>
      <c r="I808" s="794">
        <f>=F808</f>
        <v>46127</v>
      </c>
      <c r="J808" s="795" t="s"/>
      <c r="K808" s="795" t="s"/>
      <c r="L808" s="796" t="s"/>
      <c r="M808" s="795" t="s"/>
      <c r="N808" s="584" t="s"/>
      <c r="O808" s="655" t="s"/>
      <c r="P808" s="131" t="s">
        <f>=IF(O808&gt;0,"逾期","正常")</f>
        <v>32</v>
      </c>
      <c r="Q808" s="615" t="s">
        <v>633</v>
      </c>
      <c r="R808" s="616" t="s"/>
    </row>
    <row r="809" spans="1:18" s="57" customFormat="1">
      <c r="A809" s="617" t="s"/>
      <c r="B809" s="618" t="s"/>
      <c r="C809" s="619" t="s"/>
      <c r="D809" s="620" t="s">
        <v>72</v>
      </c>
      <c r="E809" s="621" t="s">
        <v>23</v>
      </c>
      <c r="F809" s="622" t="s"/>
      <c r="G809" s="479" t="s">
        <v>24</v>
      </c>
      <c r="H809" s="479" t="s">
        <v>50</v>
      </c>
      <c r="I809" s="134" t="s"/>
      <c r="J809" s="134" t="s"/>
      <c r="K809" s="134" t="s"/>
      <c r="L809" s="422">
        <f>=J809-I809</f>
        <v>0</v>
      </c>
      <c r="M809" s="406" t="s"/>
      <c r="N809" s="467" t="s"/>
      <c r="O809" s="127" t="s"/>
      <c r="P809" s="131" t="s">
        <f>=IF(O809&gt;0,"逾期","正常")</f>
        <v>32</v>
      </c>
      <c r="Q809" s="623" t="s">
        <v>634</v>
      </c>
      <c r="R809" s="624" t="s"/>
    </row>
    <row r="810" spans="1:18" s="57" customFormat="1">
      <c r="A810" s="617" t="s"/>
      <c r="B810" s="618" t="s"/>
      <c r="C810" s="619" t="s"/>
      <c r="D810" s="621" t="s">
        <v>28</v>
      </c>
      <c r="E810" s="621" t="s">
        <v>29</v>
      </c>
      <c r="F810" s="601" t="s"/>
      <c r="G810" s="625" t="s">
        <v>30</v>
      </c>
      <c r="H810" s="625" t="s">
        <v>31</v>
      </c>
      <c r="I810" s="601" t="s"/>
      <c r="J810" s="601" t="s"/>
      <c r="K810" s="601" t="s"/>
      <c r="L810" s="625">
        <v>7</v>
      </c>
      <c r="M810" s="601" t="s"/>
      <c r="N810" s="653" t="s"/>
      <c r="O810" s="630" t="s"/>
      <c r="P810" s="131" t="s">
        <f>=IF(O810&gt;0,"逾期","正常")</f>
        <v>32</v>
      </c>
      <c r="Q810" s="623" t="s"/>
      <c r="R810" s="624" t="s"/>
    </row>
    <row r="811" spans="1:18" s="57" customFormat="1">
      <c r="A811" s="617" t="s"/>
      <c r="B811" s="618" t="s"/>
      <c r="C811" s="619" t="s"/>
      <c r="D811" s="626" t="s">
        <v>51</v>
      </c>
      <c r="E811" s="621" t="s">
        <v>34</v>
      </c>
      <c r="F811" s="627">
        <f>=IF(M809="",TODAY()-F808,M809-F808)</f>
        <v>23</v>
      </c>
      <c r="G811" s="625" t="s">
        <v>35</v>
      </c>
      <c r="H811" s="625" t="s"/>
      <c r="I811" s="601" t="s"/>
      <c r="J811" s="601" t="s"/>
      <c r="K811" s="601" t="s"/>
      <c r="L811" s="625" t="s"/>
      <c r="M811" s="601" t="s"/>
      <c r="N811" s="630" t="s"/>
      <c r="O811" s="630" t="s"/>
      <c r="P811" s="131" t="s">
        <f>=IF(O811&gt;0,"逾期","正常")</f>
        <v>32</v>
      </c>
      <c r="Q811" s="623" t="s"/>
      <c r="R811" s="624" t="s"/>
    </row>
    <row r="812" spans="1:18" s="57" customFormat="1">
      <c r="A812" s="631" t="s"/>
      <c r="B812" s="632" t="s"/>
      <c r="C812" s="633" t="s"/>
      <c r="D812" s="634" t="s">
        <v>36</v>
      </c>
      <c r="E812" s="634" t="s">
        <v>37</v>
      </c>
      <c r="F812" s="557">
        <v>0.3</v>
      </c>
      <c r="G812" s="685" t="s">
        <v>38</v>
      </c>
      <c r="H812" s="637" t="s">
        <f>=D809</f>
        <v>72</v>
      </c>
      <c r="I812" s="686" t="s"/>
      <c r="J812" s="686" t="s"/>
      <c r="K812" s="686" t="s"/>
      <c r="L812" s="687">
        <v>90</v>
      </c>
      <c r="M812" s="686" t="s"/>
      <c r="N812" s="639" t="s"/>
      <c r="O812" s="638" t="s"/>
      <c r="P812" s="433" t="s">
        <f>=IF(O812&gt;0,"逾期","正常")</f>
        <v>32</v>
      </c>
      <c r="Q812" s="640" t="s"/>
      <c r="R812" s="641" t="s"/>
    </row>
    <row r="813" spans="1:18" s="57" customFormat="1">
      <c r="A813" s="606" t="s">
        <v>635</v>
      </c>
      <c r="B813" s="607" t="s">
        <v>32</v>
      </c>
      <c r="C813" s="608" t="s">
        <v>636</v>
      </c>
      <c r="D813" s="609" t="s">
        <v>17</v>
      </c>
      <c r="E813" s="609" t="s">
        <v>18</v>
      </c>
      <c r="F813" s="599">
        <v>46129</v>
      </c>
      <c r="G813" s="792" t="s">
        <v>19</v>
      </c>
      <c r="H813" s="793" t="s">
        <v>63</v>
      </c>
      <c r="I813" s="794">
        <f>=F813</f>
        <v>46129</v>
      </c>
      <c r="J813" s="795">
        <v>46149</v>
      </c>
      <c r="K813" s="795">
        <v>46147</v>
      </c>
      <c r="L813" s="796">
        <f>=J813-I813</f>
        <v>20</v>
      </c>
      <c r="M813" s="795" t="s"/>
      <c r="N813" s="584" t="s"/>
      <c r="O813" s="655">
        <f>=IF(M813="",TODAY()-J813,M813-J813)</f>
        <v>1</v>
      </c>
      <c r="P813" s="131" t="s">
        <f>=IF(O813&gt;0,"逾期","正常")</f>
        <v>21</v>
      </c>
      <c r="Q813" s="615" t="s"/>
      <c r="R813" s="616" t="s"/>
    </row>
    <row r="814" spans="1:18" s="57" customFormat="1">
      <c r="A814" s="617" t="s"/>
      <c r="B814" s="618" t="s"/>
      <c r="C814" s="619" t="s"/>
      <c r="D814" s="620" t="s">
        <v>128</v>
      </c>
      <c r="E814" s="621" t="s">
        <v>23</v>
      </c>
      <c r="F814" s="622">
        <f>=F815-F813</f>
        <v>45</v>
      </c>
      <c r="G814" s="479" t="s">
        <v>24</v>
      </c>
      <c r="H814" s="479" t="s">
        <v>25</v>
      </c>
      <c r="I814" s="134" t="s"/>
      <c r="J814" s="134" t="s"/>
      <c r="K814" s="134" t="s"/>
      <c r="L814" s="422">
        <f>=J814-I814</f>
        <v>0</v>
      </c>
      <c r="M814" s="406" t="s"/>
      <c r="N814" s="467" t="s"/>
      <c r="O814" s="127" t="s"/>
      <c r="P814" s="131" t="s">
        <f>=IF(O814&gt;0,"逾期","正常")</f>
        <v>32</v>
      </c>
      <c r="Q814" s="623" t="s"/>
      <c r="R814" s="624" t="s"/>
    </row>
    <row r="815" spans="1:18" s="57" customFormat="1">
      <c r="A815" s="617" t="s"/>
      <c r="B815" s="618" t="s"/>
      <c r="C815" s="619" t="s"/>
      <c r="D815" s="621" t="s">
        <v>28</v>
      </c>
      <c r="E815" s="621" t="s">
        <v>29</v>
      </c>
      <c r="F815" s="601">
        <v>46174</v>
      </c>
      <c r="G815" s="625" t="s">
        <v>30</v>
      </c>
      <c r="H815" s="625" t="s">
        <v>31</v>
      </c>
      <c r="I815" s="601" t="s"/>
      <c r="J815" s="601" t="s"/>
      <c r="K815" s="601" t="s"/>
      <c r="L815" s="625">
        <v>7</v>
      </c>
      <c r="M815" s="601" t="s"/>
      <c r="N815" s="653" t="s"/>
      <c r="O815" s="630" t="s"/>
      <c r="P815" s="131" t="s">
        <f>=IF(O815&gt;0,"逾期","正常")</f>
        <v>32</v>
      </c>
      <c r="Q815" s="623" t="s"/>
      <c r="R815" s="624" t="s"/>
    </row>
    <row r="816" spans="1:18" s="57" customFormat="1">
      <c r="A816" s="617" t="s"/>
      <c r="B816" s="618" t="s"/>
      <c r="C816" s="619" t="s"/>
      <c r="D816" s="626" t="s">
        <v>46</v>
      </c>
      <c r="E816" s="621" t="s">
        <v>34</v>
      </c>
      <c r="F816" s="627">
        <f>=IF(M814="",TODAY()-F813,M814-F813)</f>
        <v>21</v>
      </c>
      <c r="G816" s="625" t="s">
        <v>35</v>
      </c>
      <c r="H816" s="625" t="s"/>
      <c r="I816" s="601" t="s"/>
      <c r="J816" s="601" t="s"/>
      <c r="K816" s="601" t="s"/>
      <c r="L816" s="625" t="s"/>
      <c r="M816" s="601" t="s"/>
      <c r="N816" s="630" t="s"/>
      <c r="O816" s="630" t="s"/>
      <c r="P816" s="131" t="s">
        <f>=IF(O816&gt;0,"逾期","正常")</f>
        <v>32</v>
      </c>
      <c r="Q816" s="623" t="s"/>
      <c r="R816" s="624" t="s"/>
    </row>
    <row r="817" spans="1:18" s="57" customFormat="1">
      <c r="A817" s="631" t="s"/>
      <c r="B817" s="632" t="s"/>
      <c r="C817" s="633" t="s"/>
      <c r="D817" s="634" t="s">
        <v>36</v>
      </c>
      <c r="E817" s="634" t="s">
        <v>37</v>
      </c>
      <c r="F817" s="557">
        <v>0.3</v>
      </c>
      <c r="G817" s="685" t="s">
        <v>38</v>
      </c>
      <c r="H817" s="637" t="s">
        <f>=D814</f>
        <v>128</v>
      </c>
      <c r="I817" s="686" t="s"/>
      <c r="J817" s="686" t="s"/>
      <c r="K817" s="686" t="s"/>
      <c r="L817" s="687">
        <v>90</v>
      </c>
      <c r="M817" s="686" t="s"/>
      <c r="N817" s="639" t="s"/>
      <c r="O817" s="638" t="s"/>
      <c r="P817" s="433" t="s">
        <f>=IF(O817&gt;0,"逾期","正常")</f>
        <v>32</v>
      </c>
      <c r="Q817" s="640" t="s"/>
      <c r="R817" s="641" t="s"/>
    </row>
    <row r="818" spans="1:18" s="57" customFormat="1">
      <c r="A818" s="606" t="s">
        <v>637</v>
      </c>
      <c r="B818" s="607" t="s">
        <v>32</v>
      </c>
      <c r="C818" s="608" t="s">
        <v>638</v>
      </c>
      <c r="D818" s="609" t="s">
        <v>17</v>
      </c>
      <c r="E818" s="609" t="s">
        <v>18</v>
      </c>
      <c r="F818" s="599">
        <v>46129</v>
      </c>
      <c r="G818" s="610" t="s">
        <v>19</v>
      </c>
      <c r="H818" s="611" t="s">
        <v>309</v>
      </c>
      <c r="I818" s="612">
        <f>=F818</f>
        <v>46129</v>
      </c>
      <c r="J818" s="599">
        <v>46134</v>
      </c>
      <c r="K818" s="599">
        <v>46134</v>
      </c>
      <c r="L818" s="613">
        <f>=J818-I818</f>
        <v>5</v>
      </c>
      <c r="M818" s="599">
        <v>46149</v>
      </c>
      <c r="N818" s="584">
        <f>=M818-I818</f>
        <v>20</v>
      </c>
      <c r="O818" s="655">
        <f>=IF(M818="",TODAY()-J818,M818-J818)</f>
        <v>15</v>
      </c>
      <c r="P818" s="131" t="s">
        <f>=IF(O818&gt;0,"逾期","正常")</f>
        <v>21</v>
      </c>
      <c r="Q818" s="615" t="s">
        <v>639</v>
      </c>
      <c r="R818" s="616" t="s"/>
    </row>
    <row r="819" spans="1:18" s="57" customFormat="1">
      <c r="A819" s="617" t="s"/>
      <c r="B819" s="618" t="s"/>
      <c r="C819" s="619" t="s"/>
      <c r="D819" s="620" t="s">
        <v>65</v>
      </c>
      <c r="E819" s="621" t="s">
        <v>23</v>
      </c>
      <c r="F819" s="622">
        <f>=F820-F818</f>
        <v>30</v>
      </c>
      <c r="G819" s="780" t="s">
        <v>24</v>
      </c>
      <c r="H819" s="780" t="s">
        <v>50</v>
      </c>
      <c r="I819" s="781">
        <f>=M818</f>
        <v>46149</v>
      </c>
      <c r="J819" s="781">
        <f>=F820</f>
        <v>46159</v>
      </c>
      <c r="K819" s="797">
        <f>=J819</f>
        <v>46159</v>
      </c>
      <c r="L819" s="791">
        <f>=J819-I819</f>
        <v>10</v>
      </c>
      <c r="M819" s="473" t="s"/>
      <c r="N819" s="467" t="s"/>
      <c r="O819" s="127">
        <f>=IF(M819="",TODAY()-J819,M819-J819)</f>
        <v>-9</v>
      </c>
      <c r="P819" s="131" t="s">
        <f>=IF(O819&gt;0,"逾期","正常")</f>
        <v>32</v>
      </c>
      <c r="Q819" s="623" t="s"/>
      <c r="R819" s="624" t="s"/>
    </row>
    <row r="820" spans="1:18" s="57" customFormat="1">
      <c r="A820" s="617" t="s"/>
      <c r="B820" s="618" t="s"/>
      <c r="C820" s="619" t="s"/>
      <c r="D820" s="621" t="s">
        <v>28</v>
      </c>
      <c r="E820" s="621" t="s">
        <v>29</v>
      </c>
      <c r="F820" s="601">
        <v>46159</v>
      </c>
      <c r="G820" s="625" t="s">
        <v>30</v>
      </c>
      <c r="H820" s="625" t="s">
        <v>31</v>
      </c>
      <c r="I820" s="601" t="s"/>
      <c r="J820" s="601" t="s"/>
      <c r="K820" s="601" t="s"/>
      <c r="L820" s="625">
        <v>7</v>
      </c>
      <c r="M820" s="601" t="s"/>
      <c r="N820" s="653" t="s"/>
      <c r="O820" s="630" t="s"/>
      <c r="P820" s="131" t="s">
        <f>=IF(O820&gt;0,"逾期","正常")</f>
        <v>32</v>
      </c>
      <c r="Q820" s="623" t="s"/>
      <c r="R820" s="624" t="s"/>
    </row>
    <row r="821" spans="1:18" s="57" customFormat="1">
      <c r="A821" s="617" t="s"/>
      <c r="B821" s="618" t="s"/>
      <c r="C821" s="619" t="s"/>
      <c r="D821" s="626" t="s">
        <v>33</v>
      </c>
      <c r="E821" s="621" t="s">
        <v>34</v>
      </c>
      <c r="F821" s="627">
        <f>=IF(M819="",TODAY()-F818,M819-F818)</f>
        <v>21</v>
      </c>
      <c r="G821" s="625" t="s">
        <v>35</v>
      </c>
      <c r="H821" s="625" t="s"/>
      <c r="I821" s="601" t="s"/>
      <c r="J821" s="601" t="s"/>
      <c r="K821" s="601" t="s"/>
      <c r="L821" s="625" t="s"/>
      <c r="M821" s="601" t="s"/>
      <c r="N821" s="630" t="s"/>
      <c r="O821" s="630" t="s"/>
      <c r="P821" s="131" t="s">
        <f>=IF(O821&gt;0,"逾期","正常")</f>
        <v>32</v>
      </c>
      <c r="Q821" s="623" t="s"/>
      <c r="R821" s="624" t="s"/>
    </row>
    <row r="822" spans="1:18" s="57" customFormat="1">
      <c r="A822" s="631" t="s"/>
      <c r="B822" s="632" t="s"/>
      <c r="C822" s="633" t="s"/>
      <c r="D822" s="634" t="s">
        <v>36</v>
      </c>
      <c r="E822" s="634" t="s">
        <v>37</v>
      </c>
      <c r="F822" s="557">
        <v>0.3</v>
      </c>
      <c r="G822" s="685" t="s">
        <v>38</v>
      </c>
      <c r="H822" s="637" t="s">
        <f>=D819</f>
        <v>65</v>
      </c>
      <c r="I822" s="686" t="s"/>
      <c r="J822" s="686" t="s"/>
      <c r="K822" s="686" t="s"/>
      <c r="L822" s="687">
        <v>90</v>
      </c>
      <c r="M822" s="686" t="s"/>
      <c r="N822" s="639" t="s"/>
      <c r="O822" s="638" t="s"/>
      <c r="P822" s="433" t="s">
        <f>=IF(O822&gt;0,"逾期","正常")</f>
        <v>32</v>
      </c>
      <c r="Q822" s="640" t="s"/>
      <c r="R822" s="641" t="s"/>
    </row>
    <row r="823" spans="1:18" s="57" customFormat="1">
      <c r="A823" s="606" t="s">
        <v>640</v>
      </c>
      <c r="B823" s="607" t="s">
        <v>32</v>
      </c>
      <c r="C823" s="608" t="s">
        <v>132</v>
      </c>
      <c r="D823" s="609" t="s">
        <v>17</v>
      </c>
      <c r="E823" s="609" t="s">
        <v>18</v>
      </c>
      <c r="F823" s="599">
        <v>46132</v>
      </c>
      <c r="G823" s="610" t="s">
        <v>19</v>
      </c>
      <c r="H823" s="611" t="s">
        <v>41</v>
      </c>
      <c r="I823" s="612">
        <f>=F823</f>
        <v>46132</v>
      </c>
      <c r="J823" s="599">
        <v>46147</v>
      </c>
      <c r="K823" s="599">
        <v>46144</v>
      </c>
      <c r="L823" s="613">
        <f>=J823-I823</f>
        <v>15</v>
      </c>
      <c r="M823" s="599">
        <v>46141</v>
      </c>
      <c r="N823" s="584">
        <f>=M823-I823</f>
        <v>9</v>
      </c>
      <c r="O823" s="655">
        <f>=IF(M823="",TODAY()-J823,M823-J823)</f>
        <v>-6</v>
      </c>
      <c r="P823" s="131" t="s">
        <f>=IF(O823&gt;0,"逾期","正常")</f>
        <v>32</v>
      </c>
      <c r="Q823" s="615" t="s">
        <v>641</v>
      </c>
      <c r="R823" s="616" t="s"/>
    </row>
    <row r="824" spans="1:18" s="57" customFormat="1">
      <c r="A824" s="617" t="s"/>
      <c r="B824" s="618" t="s"/>
      <c r="C824" s="619" t="s"/>
      <c r="D824" s="620" t="s">
        <v>65</v>
      </c>
      <c r="E824" s="621" t="s">
        <v>23</v>
      </c>
      <c r="F824" s="622">
        <f>=F825-F823</f>
        <v>35</v>
      </c>
      <c r="G824" s="780" t="s">
        <v>24</v>
      </c>
      <c r="H824" s="780" t="s">
        <v>25</v>
      </c>
      <c r="I824" s="781">
        <f>=M823</f>
        <v>46141</v>
      </c>
      <c r="J824" s="781">
        <f>=F825</f>
        <v>46167</v>
      </c>
      <c r="K824" s="797">
        <f>=J824</f>
        <v>46167</v>
      </c>
      <c r="L824" s="791">
        <f>=J824-I824</f>
        <v>26</v>
      </c>
      <c r="M824" s="473" t="s"/>
      <c r="N824" s="467" t="s"/>
      <c r="O824" s="127">
        <f>=IF(M824="",TODAY()-J824,M824-J824)</f>
        <v>-17</v>
      </c>
      <c r="P824" s="131" t="s">
        <f>=IF(O824&gt;0,"逾期","正常")</f>
        <v>32</v>
      </c>
      <c r="Q824" s="623" t="s"/>
      <c r="R824" s="624" t="s"/>
    </row>
    <row r="825" spans="1:18" s="57" customFormat="1">
      <c r="A825" s="617" t="s"/>
      <c r="B825" s="618" t="s"/>
      <c r="C825" s="619" t="s"/>
      <c r="D825" s="621" t="s">
        <v>28</v>
      </c>
      <c r="E825" s="621" t="s">
        <v>29</v>
      </c>
      <c r="F825" s="601">
        <v>46167</v>
      </c>
      <c r="G825" s="625" t="s">
        <v>30</v>
      </c>
      <c r="H825" s="625" t="s">
        <v>31</v>
      </c>
      <c r="I825" s="601" t="s"/>
      <c r="J825" s="601" t="s"/>
      <c r="K825" s="601" t="s"/>
      <c r="L825" s="625">
        <v>7</v>
      </c>
      <c r="M825" s="601" t="s"/>
      <c r="N825" s="653" t="s"/>
      <c r="O825" s="630" t="s"/>
      <c r="P825" s="131" t="s">
        <f>=IF(O825&gt;0,"逾期","正常")</f>
        <v>32</v>
      </c>
      <c r="Q825" s="623" t="s"/>
      <c r="R825" s="624" t="s"/>
    </row>
    <row r="826" spans="1:18" s="57" customFormat="1">
      <c r="A826" s="617" t="s"/>
      <c r="B826" s="618" t="s"/>
      <c r="C826" s="619" t="s"/>
      <c r="D826" s="626" t="s">
        <v>51</v>
      </c>
      <c r="E826" s="621" t="s">
        <v>34</v>
      </c>
      <c r="F826" s="627">
        <f>=IF(M824="",TODAY()-F823,M824-F823)</f>
        <v>18</v>
      </c>
      <c r="G826" s="625" t="s">
        <v>35</v>
      </c>
      <c r="H826" s="625" t="s"/>
      <c r="I826" s="601" t="s"/>
      <c r="J826" s="601" t="s"/>
      <c r="K826" s="601" t="s"/>
      <c r="L826" s="625" t="s"/>
      <c r="M826" s="601" t="s"/>
      <c r="N826" s="630" t="s"/>
      <c r="O826" s="630" t="s"/>
      <c r="P826" s="131" t="s">
        <f>=IF(O826&gt;0,"逾期","正常")</f>
        <v>32</v>
      </c>
      <c r="Q826" s="623" t="s"/>
      <c r="R826" s="624" t="s"/>
    </row>
    <row r="827" spans="1:18" s="57" customFormat="1">
      <c r="A827" s="631" t="s"/>
      <c r="B827" s="632" t="s"/>
      <c r="C827" s="633" t="s"/>
      <c r="D827" s="634" t="s">
        <v>36</v>
      </c>
      <c r="E827" s="634" t="s">
        <v>37</v>
      </c>
      <c r="F827" s="557">
        <v>0.3</v>
      </c>
      <c r="G827" s="685" t="s">
        <v>38</v>
      </c>
      <c r="H827" s="637" t="s">
        <f>=D824</f>
        <v>65</v>
      </c>
      <c r="I827" s="686" t="s"/>
      <c r="J827" s="686" t="s"/>
      <c r="K827" s="686" t="s"/>
      <c r="L827" s="687">
        <v>90</v>
      </c>
      <c r="M827" s="686" t="s"/>
      <c r="N827" s="639" t="s"/>
      <c r="O827" s="638" t="s"/>
      <c r="P827" s="433" t="s">
        <f>=IF(O827&gt;0,"逾期","正常")</f>
        <v>32</v>
      </c>
      <c r="Q827" s="640" t="s"/>
      <c r="R827" s="641" t="s"/>
    </row>
    <row r="828" spans="1:18" s="57" customFormat="1">
      <c r="A828" s="606" t="s">
        <v>642</v>
      </c>
      <c r="B828" s="607" t="s">
        <v>32</v>
      </c>
      <c r="C828" s="608" t="s">
        <v>643</v>
      </c>
      <c r="D828" s="609" t="s">
        <v>17</v>
      </c>
      <c r="E828" s="609" t="s">
        <v>18</v>
      </c>
      <c r="F828" s="599">
        <v>46132</v>
      </c>
      <c r="G828" s="792" t="s">
        <v>19</v>
      </c>
      <c r="H828" s="793" t="s">
        <v>49</v>
      </c>
      <c r="I828" s="794">
        <f>=F828</f>
        <v>46132</v>
      </c>
      <c r="J828" s="795">
        <v>46152</v>
      </c>
      <c r="K828" s="795">
        <v>46150</v>
      </c>
      <c r="L828" s="796">
        <f>=J828-I828</f>
        <v>20</v>
      </c>
      <c r="M828" s="795" t="s"/>
      <c r="N828" s="584" t="s"/>
      <c r="O828" s="655">
        <f>=IF(M828="",TODAY()-J828,M828-J828)</f>
        <v>-2</v>
      </c>
      <c r="P828" s="131" t="s">
        <f>=IF(O828&gt;0,"逾期","正常")</f>
        <v>32</v>
      </c>
      <c r="Q828" s="615" t="s"/>
      <c r="R828" s="616" t="s"/>
    </row>
    <row r="829" spans="1:18" s="57" customFormat="1">
      <c r="A829" s="617" t="s"/>
      <c r="B829" s="618" t="s"/>
      <c r="C829" s="619" t="s"/>
      <c r="D829" s="620" t="s">
        <v>72</v>
      </c>
      <c r="E829" s="621" t="s">
        <v>23</v>
      </c>
      <c r="F829" s="622">
        <f>=F830-F828</f>
        <v>37</v>
      </c>
      <c r="G829" s="479" t="s">
        <v>24</v>
      </c>
      <c r="H829" s="479" t="s">
        <v>50</v>
      </c>
      <c r="I829" s="134" t="s"/>
      <c r="J829" s="134" t="s"/>
      <c r="K829" s="134" t="s"/>
      <c r="L829" s="422">
        <f>=J829-I829</f>
        <v>0</v>
      </c>
      <c r="M829" s="406" t="s"/>
      <c r="N829" s="467" t="s"/>
      <c r="O829" s="127" t="s"/>
      <c r="P829" s="131" t="s">
        <f>=IF(O829&gt;0,"逾期","正常")</f>
        <v>32</v>
      </c>
      <c r="Q829" s="623" t="s"/>
      <c r="R829" s="624" t="s"/>
    </row>
    <row r="830" spans="1:18" s="57" customFormat="1">
      <c r="A830" s="617" t="s"/>
      <c r="B830" s="618" t="s"/>
      <c r="C830" s="619" t="s"/>
      <c r="D830" s="621" t="s">
        <v>28</v>
      </c>
      <c r="E830" s="621" t="s">
        <v>29</v>
      </c>
      <c r="F830" s="601">
        <v>46169</v>
      </c>
      <c r="G830" s="625" t="s">
        <v>30</v>
      </c>
      <c r="H830" s="625" t="s">
        <v>31</v>
      </c>
      <c r="I830" s="601" t="s"/>
      <c r="J830" s="601" t="s"/>
      <c r="K830" s="601" t="s"/>
      <c r="L830" s="625">
        <v>7</v>
      </c>
      <c r="M830" s="601" t="s"/>
      <c r="N830" s="653" t="s"/>
      <c r="O830" s="630" t="s"/>
      <c r="P830" s="131" t="s">
        <f>=IF(O830&gt;0,"逾期","正常")</f>
        <v>32</v>
      </c>
      <c r="Q830" s="623" t="s"/>
      <c r="R830" s="624" t="s"/>
    </row>
    <row r="831" spans="1:18" s="57" customFormat="1">
      <c r="A831" s="617" t="s"/>
      <c r="B831" s="618" t="s"/>
      <c r="C831" s="619" t="s"/>
      <c r="D831" s="626" t="s">
        <v>46</v>
      </c>
      <c r="E831" s="621" t="s">
        <v>34</v>
      </c>
      <c r="F831" s="627">
        <f>=IF(M829="",TODAY()-F828,M829-F828)</f>
        <v>18</v>
      </c>
      <c r="G831" s="625" t="s">
        <v>35</v>
      </c>
      <c r="H831" s="625" t="s"/>
      <c r="I831" s="601" t="s"/>
      <c r="J831" s="601" t="s"/>
      <c r="K831" s="601" t="s"/>
      <c r="L831" s="625" t="s"/>
      <c r="M831" s="601" t="s"/>
      <c r="N831" s="630" t="s"/>
      <c r="O831" s="630" t="s"/>
      <c r="P831" s="131" t="s">
        <f>=IF(O831&gt;0,"逾期","正常")</f>
        <v>32</v>
      </c>
      <c r="Q831" s="623" t="s"/>
      <c r="R831" s="624" t="s"/>
    </row>
    <row r="832" spans="1:18" s="57" customFormat="1">
      <c r="A832" s="631" t="s"/>
      <c r="B832" s="632" t="s"/>
      <c r="C832" s="633" t="s"/>
      <c r="D832" s="634" t="s">
        <v>36</v>
      </c>
      <c r="E832" s="634" t="s">
        <v>37</v>
      </c>
      <c r="F832" s="557">
        <v>0.3</v>
      </c>
      <c r="G832" s="685" t="s">
        <v>38</v>
      </c>
      <c r="H832" s="637" t="s">
        <f>=D829</f>
        <v>72</v>
      </c>
      <c r="I832" s="686" t="s"/>
      <c r="J832" s="686" t="s"/>
      <c r="K832" s="686" t="s"/>
      <c r="L832" s="687">
        <v>90</v>
      </c>
      <c r="M832" s="686" t="s"/>
      <c r="N832" s="639" t="s"/>
      <c r="O832" s="638" t="s"/>
      <c r="P832" s="433" t="s">
        <f>=IF(O832&gt;0,"逾期","正常")</f>
        <v>32</v>
      </c>
      <c r="Q832" s="640" t="s"/>
      <c r="R832" s="641" t="s"/>
    </row>
    <row r="833" spans="1:18" s="57" customFormat="1">
      <c r="A833" s="606" t="s">
        <v>644</v>
      </c>
      <c r="B833" s="607" t="s">
        <v>32</v>
      </c>
      <c r="C833" s="608" t="s">
        <v>645</v>
      </c>
      <c r="D833" s="609" t="s">
        <v>17</v>
      </c>
      <c r="E833" s="609" t="s">
        <v>18</v>
      </c>
      <c r="F833" s="599">
        <v>46136</v>
      </c>
      <c r="G833" s="610" t="s">
        <v>19</v>
      </c>
      <c r="H833" s="611" t="s">
        <v>41</v>
      </c>
      <c r="I833" s="612">
        <f>=F833</f>
        <v>46136</v>
      </c>
      <c r="J833" s="599">
        <v>46156</v>
      </c>
      <c r="K833" s="599">
        <v>46151</v>
      </c>
      <c r="L833" s="613">
        <f>=J833-I833</f>
        <v>20</v>
      </c>
      <c r="M833" s="599">
        <v>46140</v>
      </c>
      <c r="N833" s="584">
        <f>=M833-I833</f>
        <v>4</v>
      </c>
      <c r="O833" s="655">
        <f>=IF(M833="",TODAY()-J833,M833-J833)</f>
        <v>-16</v>
      </c>
      <c r="P833" s="131" t="s">
        <f>=IF(O833&gt;0,"逾期","正常")</f>
        <v>32</v>
      </c>
      <c r="Q833" s="615" t="s">
        <v>646</v>
      </c>
      <c r="R833" s="616" t="s"/>
    </row>
    <row r="834" spans="1:18" s="57" customFormat="1">
      <c r="A834" s="617" t="s"/>
      <c r="B834" s="618" t="s"/>
      <c r="C834" s="619" t="s"/>
      <c r="D834" s="620" t="s">
        <v>42</v>
      </c>
      <c r="E834" s="621" t="s">
        <v>23</v>
      </c>
      <c r="F834" s="622">
        <f>=F835-F833</f>
        <v>45</v>
      </c>
      <c r="G834" s="780" t="s">
        <v>24</v>
      </c>
      <c r="H834" s="780" t="s">
        <v>50</v>
      </c>
      <c r="I834" s="781">
        <f>=M833</f>
        <v>46140</v>
      </c>
      <c r="J834" s="781">
        <f>=F835</f>
        <v>46181</v>
      </c>
      <c r="K834" s="797">
        <f>=J834</f>
        <v>46181</v>
      </c>
      <c r="L834" s="791">
        <f>=J834-I834</f>
        <v>41</v>
      </c>
      <c r="M834" s="473" t="s"/>
      <c r="N834" s="467" t="s"/>
      <c r="O834" s="127">
        <f>=IF(M834="",TODAY()-J834,M834-J834)</f>
        <v>-31</v>
      </c>
      <c r="P834" s="131" t="s">
        <f>=IF(O834&gt;0,"逾期","正常")</f>
        <v>32</v>
      </c>
      <c r="Q834" s="623" t="s"/>
      <c r="R834" s="624" t="s"/>
    </row>
    <row r="835" spans="1:18" s="57" customFormat="1">
      <c r="A835" s="617" t="s"/>
      <c r="B835" s="618" t="s"/>
      <c r="C835" s="619" t="s"/>
      <c r="D835" s="621" t="s">
        <v>28</v>
      </c>
      <c r="E835" s="621" t="s">
        <v>29</v>
      </c>
      <c r="F835" s="601">
        <v>46181</v>
      </c>
      <c r="G835" s="625" t="s">
        <v>30</v>
      </c>
      <c r="H835" s="625" t="s">
        <v>31</v>
      </c>
      <c r="I835" s="601" t="s"/>
      <c r="J835" s="601" t="s"/>
      <c r="K835" s="601" t="s"/>
      <c r="L835" s="625">
        <v>7</v>
      </c>
      <c r="M835" s="601" t="s"/>
      <c r="N835" s="653" t="s"/>
      <c r="O835" s="630" t="s"/>
      <c r="P835" s="131" t="s">
        <f>=IF(O835&gt;0,"逾期","正常")</f>
        <v>32</v>
      </c>
      <c r="Q835" s="623" t="s"/>
      <c r="R835" s="624" t="s"/>
    </row>
    <row r="836" spans="1:18" s="57" customFormat="1">
      <c r="A836" s="617" t="s"/>
      <c r="B836" s="618" t="s"/>
      <c r="C836" s="619" t="s"/>
      <c r="D836" s="626" t="s">
        <v>51</v>
      </c>
      <c r="E836" s="621" t="s">
        <v>34</v>
      </c>
      <c r="F836" s="627">
        <f>=IF(M834="",TODAY()-F833,M834-F833)</f>
        <v>14</v>
      </c>
      <c r="G836" s="625" t="s">
        <v>35</v>
      </c>
      <c r="H836" s="625" t="s"/>
      <c r="I836" s="601" t="s"/>
      <c r="J836" s="601" t="s"/>
      <c r="K836" s="601" t="s"/>
      <c r="L836" s="625" t="s"/>
      <c r="M836" s="601" t="s"/>
      <c r="N836" s="630" t="s"/>
      <c r="O836" s="630" t="s"/>
      <c r="P836" s="131" t="s">
        <f>=IF(O836&gt;0,"逾期","正常")</f>
        <v>32</v>
      </c>
      <c r="Q836" s="623" t="s"/>
      <c r="R836" s="624" t="s"/>
    </row>
    <row r="837" spans="1:18" s="57" customFormat="1">
      <c r="A837" s="631" t="s"/>
      <c r="B837" s="632" t="s"/>
      <c r="C837" s="633" t="s"/>
      <c r="D837" s="634" t="s">
        <v>36</v>
      </c>
      <c r="E837" s="634" t="s">
        <v>37</v>
      </c>
      <c r="F837" s="557">
        <v>0.3</v>
      </c>
      <c r="G837" s="685" t="s">
        <v>38</v>
      </c>
      <c r="H837" s="637" t="s">
        <f>=D834</f>
        <v>42</v>
      </c>
      <c r="I837" s="686" t="s"/>
      <c r="J837" s="686" t="s"/>
      <c r="K837" s="686" t="s"/>
      <c r="L837" s="687">
        <v>90</v>
      </c>
      <c r="M837" s="686" t="s"/>
      <c r="N837" s="639" t="s"/>
      <c r="O837" s="638" t="s"/>
      <c r="P837" s="433" t="s">
        <f>=IF(O837&gt;0,"逾期","正常")</f>
        <v>32</v>
      </c>
      <c r="Q837" s="640" t="s"/>
      <c r="R837" s="641" t="s"/>
    </row>
    <row r="838" spans="1:18" s="57" customFormat="1">
      <c r="A838" s="606" t="s">
        <v>647</v>
      </c>
      <c r="B838" s="607" t="s">
        <v>32</v>
      </c>
      <c r="C838" s="608" t="s">
        <v>184</v>
      </c>
      <c r="D838" s="609" t="s">
        <v>17</v>
      </c>
      <c r="E838" s="609" t="s">
        <v>18</v>
      </c>
      <c r="F838" s="599">
        <v>46136</v>
      </c>
      <c r="G838" s="610" t="s">
        <v>19</v>
      </c>
      <c r="H838" s="611" t="s">
        <v>41</v>
      </c>
      <c r="I838" s="612">
        <f>=F838</f>
        <v>46136</v>
      </c>
      <c r="J838" s="599">
        <v>46151</v>
      </c>
      <c r="K838" s="599">
        <v>46148</v>
      </c>
      <c r="L838" s="613">
        <f>=J838-I838</f>
        <v>15</v>
      </c>
      <c r="M838" s="599">
        <v>46148</v>
      </c>
      <c r="N838" s="584">
        <f>=M838-I838</f>
        <v>12</v>
      </c>
      <c r="O838" s="655">
        <f>=IF(M838="",TODAY()-J838,M838-J838)</f>
        <v>-3</v>
      </c>
      <c r="P838" s="131" t="s">
        <f>=IF(O838&gt;0,"逾期","正常")</f>
        <v>32</v>
      </c>
      <c r="Q838" s="615" t="s"/>
      <c r="R838" s="616" t="s"/>
    </row>
    <row r="839" spans="1:18" s="57" customFormat="1">
      <c r="A839" s="617" t="s"/>
      <c r="B839" s="618" t="s"/>
      <c r="C839" s="619" t="s"/>
      <c r="D839" s="620" t="s">
        <v>72</v>
      </c>
      <c r="E839" s="621" t="s">
        <v>23</v>
      </c>
      <c r="F839" s="622">
        <f>=F840-F838</f>
        <v>30</v>
      </c>
      <c r="G839" s="780" t="s">
        <v>24</v>
      </c>
      <c r="H839" s="780" t="s">
        <v>50</v>
      </c>
      <c r="I839" s="781">
        <f>=M838</f>
        <v>46148</v>
      </c>
      <c r="J839" s="781">
        <f>=F840</f>
        <v>46166</v>
      </c>
      <c r="K839" s="797">
        <f>=J839</f>
        <v>46166</v>
      </c>
      <c r="L839" s="791">
        <f>=J839-I839</f>
        <v>18</v>
      </c>
      <c r="M839" s="473" t="s"/>
      <c r="N839" s="467" t="s"/>
      <c r="O839" s="127">
        <f>=IF(M839="",TODAY()-J839,M839-J839)</f>
        <v>-16</v>
      </c>
      <c r="P839" s="131" t="s">
        <f>=IF(O839&gt;0,"逾期","正常")</f>
        <v>32</v>
      </c>
      <c r="Q839" s="623" t="s"/>
      <c r="R839" s="624" t="s"/>
    </row>
    <row r="840" spans="1:18" s="57" customFormat="1">
      <c r="A840" s="617" t="s"/>
      <c r="B840" s="618" t="s"/>
      <c r="C840" s="619" t="s"/>
      <c r="D840" s="621" t="s">
        <v>28</v>
      </c>
      <c r="E840" s="621" t="s">
        <v>29</v>
      </c>
      <c r="F840" s="601">
        <v>46166</v>
      </c>
      <c r="G840" s="625" t="s">
        <v>30</v>
      </c>
      <c r="H840" s="625" t="s">
        <v>31</v>
      </c>
      <c r="I840" s="601" t="s"/>
      <c r="J840" s="601" t="s"/>
      <c r="K840" s="601" t="s"/>
      <c r="L840" s="625">
        <v>7</v>
      </c>
      <c r="M840" s="601" t="s"/>
      <c r="N840" s="653" t="s"/>
      <c r="O840" s="630" t="s"/>
      <c r="P840" s="131" t="s">
        <f>=IF(O840&gt;0,"逾期","正常")</f>
        <v>32</v>
      </c>
      <c r="Q840" s="623" t="s"/>
      <c r="R840" s="624" t="s"/>
    </row>
    <row r="841" spans="1:18" s="57" customFormat="1">
      <c r="A841" s="617" t="s"/>
      <c r="B841" s="618" t="s"/>
      <c r="C841" s="619" t="s"/>
      <c r="D841" s="626" t="s">
        <v>51</v>
      </c>
      <c r="E841" s="621" t="s">
        <v>34</v>
      </c>
      <c r="F841" s="627">
        <f>=IF(M839="",TODAY()-F838,M839-F838)</f>
        <v>14</v>
      </c>
      <c r="G841" s="625" t="s">
        <v>35</v>
      </c>
      <c r="H841" s="625" t="s"/>
      <c r="I841" s="601" t="s"/>
      <c r="J841" s="601" t="s"/>
      <c r="K841" s="601" t="s"/>
      <c r="L841" s="625" t="s"/>
      <c r="M841" s="601" t="s"/>
      <c r="N841" s="630" t="s"/>
      <c r="O841" s="630" t="s"/>
      <c r="P841" s="131" t="s">
        <f>=IF(O841&gt;0,"逾期","正常")</f>
        <v>32</v>
      </c>
      <c r="Q841" s="623" t="s"/>
      <c r="R841" s="624" t="s"/>
    </row>
    <row r="842" spans="1:18" s="57" customFormat="1">
      <c r="A842" s="631" t="s"/>
      <c r="B842" s="632" t="s"/>
      <c r="C842" s="633" t="s"/>
      <c r="D842" s="634" t="s">
        <v>36</v>
      </c>
      <c r="E842" s="634" t="s">
        <v>37</v>
      </c>
      <c r="F842" s="557">
        <v>0.5</v>
      </c>
      <c r="G842" s="685" t="s">
        <v>38</v>
      </c>
      <c r="H842" s="637" t="s">
        <f>=D839</f>
        <v>72</v>
      </c>
      <c r="I842" s="686" t="s"/>
      <c r="J842" s="686" t="s"/>
      <c r="K842" s="686" t="s"/>
      <c r="L842" s="687">
        <v>90</v>
      </c>
      <c r="M842" s="686" t="s"/>
      <c r="N842" s="639" t="s"/>
      <c r="O842" s="638" t="s"/>
      <c r="P842" s="433" t="s">
        <f>=IF(O842&gt;0,"逾期","正常")</f>
        <v>32</v>
      </c>
      <c r="Q842" s="640" t="s"/>
      <c r="R842" s="641" t="s"/>
    </row>
    <row r="843" spans="1:18" s="57" customFormat="1">
      <c r="A843" s="606" t="s">
        <v>648</v>
      </c>
      <c r="B843" s="607" t="s">
        <v>32</v>
      </c>
      <c r="C843" s="608" t="s">
        <v>48</v>
      </c>
      <c r="D843" s="609" t="s">
        <v>17</v>
      </c>
      <c r="E843" s="609" t="s">
        <v>18</v>
      </c>
      <c r="F843" s="599">
        <v>46136</v>
      </c>
      <c r="G843" s="610" t="s">
        <v>19</v>
      </c>
      <c r="H843" s="611" t="s">
        <v>49</v>
      </c>
      <c r="I843" s="612">
        <f>=F843</f>
        <v>46136</v>
      </c>
      <c r="J843" s="599">
        <v>46151</v>
      </c>
      <c r="K843" s="599">
        <v>46148</v>
      </c>
      <c r="L843" s="613">
        <f>=J843-I843</f>
        <v>15</v>
      </c>
      <c r="M843" s="599">
        <v>46139</v>
      </c>
      <c r="N843" s="584">
        <f>=M843-I843</f>
        <v>3</v>
      </c>
      <c r="O843" s="655">
        <f>=IF(M843="",TODAY()-J843,M843-J843)</f>
        <v>-12</v>
      </c>
      <c r="P843" s="131" t="s">
        <f>=IF(O843&gt;0,"逾期","正常")</f>
        <v>32</v>
      </c>
      <c r="Q843" s="615" t="s"/>
      <c r="R843" s="616" t="s"/>
    </row>
    <row r="844" spans="1:18" s="57" customFormat="1">
      <c r="A844" s="617" t="s"/>
      <c r="B844" s="618" t="s"/>
      <c r="C844" s="619" t="s"/>
      <c r="D844" s="620" t="s">
        <v>72</v>
      </c>
      <c r="E844" s="621" t="s">
        <v>23</v>
      </c>
      <c r="F844" s="622">
        <f>=F845-F843</f>
        <v>30</v>
      </c>
      <c r="G844" s="780" t="s">
        <v>24</v>
      </c>
      <c r="H844" s="780" t="s">
        <v>50</v>
      </c>
      <c r="I844" s="781">
        <f>=M843</f>
        <v>46139</v>
      </c>
      <c r="J844" s="781">
        <f>=F845</f>
        <v>46166</v>
      </c>
      <c r="K844" s="797">
        <f>=J844</f>
        <v>46166</v>
      </c>
      <c r="L844" s="791">
        <f>=J844-I844</f>
        <v>27</v>
      </c>
      <c r="M844" s="473" t="s"/>
      <c r="N844" s="467" t="s"/>
      <c r="O844" s="127">
        <f>=IF(M844="",TODAY()-J844,M844-J844)</f>
        <v>-16</v>
      </c>
      <c r="P844" s="131" t="s">
        <f>=IF(O844&gt;0,"逾期","正常")</f>
        <v>32</v>
      </c>
      <c r="Q844" s="623" t="s"/>
      <c r="R844" s="624" t="s"/>
    </row>
    <row r="845" spans="1:18" s="57" customFormat="1">
      <c r="A845" s="617" t="s"/>
      <c r="B845" s="618" t="s"/>
      <c r="C845" s="619" t="s"/>
      <c r="D845" s="621" t="s">
        <v>28</v>
      </c>
      <c r="E845" s="621" t="s">
        <v>29</v>
      </c>
      <c r="F845" s="601">
        <v>46166</v>
      </c>
      <c r="G845" s="625" t="s">
        <v>30</v>
      </c>
      <c r="H845" s="625" t="s">
        <v>31</v>
      </c>
      <c r="I845" s="601" t="s"/>
      <c r="J845" s="601" t="s"/>
      <c r="K845" s="601" t="s"/>
      <c r="L845" s="625">
        <v>7</v>
      </c>
      <c r="M845" s="601" t="s"/>
      <c r="N845" s="653" t="s"/>
      <c r="O845" s="630" t="s"/>
      <c r="P845" s="131" t="s">
        <f>=IF(O845&gt;0,"逾期","正常")</f>
        <v>32</v>
      </c>
      <c r="Q845" s="623" t="s"/>
      <c r="R845" s="624" t="s"/>
    </row>
    <row r="846" spans="1:18" s="57" customFormat="1">
      <c r="A846" s="617" t="s"/>
      <c r="B846" s="618" t="s"/>
      <c r="C846" s="619" t="s"/>
      <c r="D846" s="626" t="s">
        <v>46</v>
      </c>
      <c r="E846" s="621" t="s">
        <v>34</v>
      </c>
      <c r="F846" s="627">
        <f>=IF(M844="",TODAY()-F843,M844-F843)</f>
        <v>14</v>
      </c>
      <c r="G846" s="625" t="s">
        <v>35</v>
      </c>
      <c r="H846" s="625" t="s"/>
      <c r="I846" s="601" t="s"/>
      <c r="J846" s="601" t="s"/>
      <c r="K846" s="601" t="s"/>
      <c r="L846" s="625" t="s"/>
      <c r="M846" s="601" t="s"/>
      <c r="N846" s="630" t="s"/>
      <c r="O846" s="630" t="s"/>
      <c r="P846" s="131" t="s">
        <f>=IF(O846&gt;0,"逾期","正常")</f>
        <v>32</v>
      </c>
      <c r="Q846" s="623" t="s"/>
      <c r="R846" s="624" t="s"/>
    </row>
    <row r="847" spans="1:18" s="57" customFormat="1">
      <c r="A847" s="631" t="s"/>
      <c r="B847" s="632" t="s"/>
      <c r="C847" s="633" t="s"/>
      <c r="D847" s="634" t="s">
        <v>36</v>
      </c>
      <c r="E847" s="634" t="s">
        <v>37</v>
      </c>
      <c r="F847" s="557">
        <v>0.5</v>
      </c>
      <c r="G847" s="685" t="s">
        <v>38</v>
      </c>
      <c r="H847" s="637" t="s">
        <f>=D844</f>
        <v>72</v>
      </c>
      <c r="I847" s="686" t="s"/>
      <c r="J847" s="686" t="s"/>
      <c r="K847" s="686" t="s"/>
      <c r="L847" s="687">
        <v>90</v>
      </c>
      <c r="M847" s="686" t="s"/>
      <c r="N847" s="639" t="s"/>
      <c r="O847" s="638" t="s"/>
      <c r="P847" s="433" t="s">
        <f>=IF(O847&gt;0,"逾期","正常")</f>
        <v>32</v>
      </c>
      <c r="Q847" s="640" t="s"/>
      <c r="R847" s="641" t="s"/>
    </row>
    <row r="848" spans="1:18" s="57" customFormat="1">
      <c r="A848" s="606" t="s">
        <v>649</v>
      </c>
      <c r="B848" s="607" t="s">
        <v>32</v>
      </c>
      <c r="C848" s="608" t="s">
        <v>650</v>
      </c>
      <c r="D848" s="609" t="s">
        <v>17</v>
      </c>
      <c r="E848" s="609" t="s">
        <v>18</v>
      </c>
      <c r="F848" s="599">
        <v>46139</v>
      </c>
      <c r="G848" s="792" t="s">
        <v>19</v>
      </c>
      <c r="H848" s="793" t="s">
        <v>309</v>
      </c>
      <c r="I848" s="794">
        <f>=F848</f>
        <v>46139</v>
      </c>
      <c r="J848" s="795">
        <v>46154</v>
      </c>
      <c r="K848" s="795">
        <v>46151</v>
      </c>
      <c r="L848" s="796">
        <f>=J848-I848</f>
        <v>15</v>
      </c>
      <c r="M848" s="795" t="s"/>
      <c r="N848" s="584" t="s"/>
      <c r="O848" s="655">
        <f>=IF(M848="",TODAY()-J848,M848-J848)</f>
        <v>-4</v>
      </c>
      <c r="P848" s="131" t="s">
        <f>=IF(O848&gt;0,"逾期","正常")</f>
        <v>32</v>
      </c>
      <c r="Q848" s="615" t="s"/>
      <c r="R848" s="616" t="s"/>
    </row>
    <row r="849" spans="1:18" s="57" customFormat="1">
      <c r="A849" s="617" t="s"/>
      <c r="B849" s="618" t="s"/>
      <c r="C849" s="619" t="s"/>
      <c r="D849" s="620" t="s">
        <v>373</v>
      </c>
      <c r="E849" s="621" t="s">
        <v>23</v>
      </c>
      <c r="F849" s="622">
        <f>=F850-F848</f>
        <v>30</v>
      </c>
      <c r="G849" s="479" t="s">
        <v>24</v>
      </c>
      <c r="H849" s="479" t="s">
        <v>50</v>
      </c>
      <c r="I849" s="134" t="s"/>
      <c r="J849" s="134" t="s"/>
      <c r="K849" s="134" t="s"/>
      <c r="L849" s="422">
        <f>=J849-I849</f>
        <v>0</v>
      </c>
      <c r="M849" s="406" t="s"/>
      <c r="N849" s="467" t="s"/>
      <c r="O849" s="127" t="s"/>
      <c r="P849" s="131" t="s">
        <f>=IF(O849&gt;0,"逾期","正常")</f>
        <v>32</v>
      </c>
      <c r="Q849" s="623" t="s"/>
      <c r="R849" s="624" t="s"/>
    </row>
    <row r="850" spans="1:18" s="57" customFormat="1">
      <c r="A850" s="617" t="s"/>
      <c r="B850" s="618" t="s"/>
      <c r="C850" s="619" t="s"/>
      <c r="D850" s="621" t="s">
        <v>28</v>
      </c>
      <c r="E850" s="621" t="s">
        <v>29</v>
      </c>
      <c r="F850" s="601">
        <v>46169</v>
      </c>
      <c r="G850" s="625" t="s">
        <v>30</v>
      </c>
      <c r="H850" s="625" t="s">
        <v>31</v>
      </c>
      <c r="I850" s="601" t="s"/>
      <c r="J850" s="601" t="s"/>
      <c r="K850" s="601" t="s"/>
      <c r="L850" s="625">
        <v>7</v>
      </c>
      <c r="M850" s="601" t="s"/>
      <c r="N850" s="653" t="s"/>
      <c r="O850" s="630" t="s"/>
      <c r="P850" s="131" t="s">
        <f>=IF(O850&gt;0,"逾期","正常")</f>
        <v>32</v>
      </c>
      <c r="Q850" s="623" t="s"/>
      <c r="R850" s="624" t="s"/>
    </row>
    <row r="851" spans="1:18" s="57" customFormat="1">
      <c r="A851" s="617" t="s"/>
      <c r="B851" s="618" t="s"/>
      <c r="C851" s="619" t="s"/>
      <c r="D851" s="626" t="s">
        <v>51</v>
      </c>
      <c r="E851" s="621" t="s">
        <v>34</v>
      </c>
      <c r="F851" s="627">
        <f>=IF(M849="",TODAY()-F848,M849-F848)</f>
        <v>11</v>
      </c>
      <c r="G851" s="625" t="s">
        <v>35</v>
      </c>
      <c r="H851" s="625" t="s"/>
      <c r="I851" s="601" t="s"/>
      <c r="J851" s="601" t="s"/>
      <c r="K851" s="601" t="s"/>
      <c r="L851" s="625" t="s"/>
      <c r="M851" s="601" t="s"/>
      <c r="N851" s="630" t="s"/>
      <c r="O851" s="630" t="s"/>
      <c r="P851" s="131" t="s">
        <f>=IF(O851&gt;0,"逾期","正常")</f>
        <v>32</v>
      </c>
      <c r="Q851" s="623" t="s"/>
      <c r="R851" s="624" t="s"/>
    </row>
    <row r="852" spans="1:18" s="57" customFormat="1">
      <c r="A852" s="631" t="s"/>
      <c r="B852" s="632" t="s"/>
      <c r="C852" s="633" t="s"/>
      <c r="D852" s="634" t="s">
        <v>36</v>
      </c>
      <c r="E852" s="634" t="s">
        <v>37</v>
      </c>
      <c r="F852" s="557">
        <v>0.3</v>
      </c>
      <c r="G852" s="685" t="s">
        <v>38</v>
      </c>
      <c r="H852" s="637" t="s">
        <f>=D849</f>
        <v>373</v>
      </c>
      <c r="I852" s="686" t="s"/>
      <c r="J852" s="686" t="s"/>
      <c r="K852" s="686" t="s"/>
      <c r="L852" s="687">
        <v>90</v>
      </c>
      <c r="M852" s="686" t="s"/>
      <c r="N852" s="639" t="s"/>
      <c r="O852" s="638" t="s"/>
      <c r="P852" s="433" t="s">
        <f>=IF(O852&gt;0,"逾期","正常")</f>
        <v>32</v>
      </c>
      <c r="Q852" s="640" t="s"/>
      <c r="R852" s="641" t="s"/>
    </row>
    <row r="853" spans="1:18" s="57" customFormat="1">
      <c r="A853" s="606" t="s">
        <v>651</v>
      </c>
      <c r="B853" s="607" t="s">
        <v>32</v>
      </c>
      <c r="C853" s="608" t="s">
        <v>652</v>
      </c>
      <c r="D853" s="609" t="s">
        <v>17</v>
      </c>
      <c r="E853" s="609" t="s">
        <v>18</v>
      </c>
      <c r="F853" s="599">
        <v>46139</v>
      </c>
      <c r="G853" s="792" t="s">
        <v>19</v>
      </c>
      <c r="H853" s="793" t="s">
        <v>63</v>
      </c>
      <c r="I853" s="794">
        <f>=F853</f>
        <v>46139</v>
      </c>
      <c r="J853" s="795">
        <v>46154</v>
      </c>
      <c r="K853" s="795">
        <v>46151</v>
      </c>
      <c r="L853" s="796">
        <f>=J853-I853</f>
        <v>15</v>
      </c>
      <c r="M853" s="795" t="s"/>
      <c r="N853" s="584" t="s"/>
      <c r="O853" s="655">
        <f>=IF(M853="",TODAY()-J853,M853-J853)</f>
        <v>-4</v>
      </c>
      <c r="P853" s="131" t="s">
        <f>=IF(O853&gt;0,"逾期","正常")</f>
        <v>32</v>
      </c>
      <c r="Q853" s="615" t="s"/>
      <c r="R853" s="616" t="s"/>
    </row>
    <row r="854" spans="1:18" s="57" customFormat="1">
      <c r="A854" s="617" t="s"/>
      <c r="B854" s="618" t="s"/>
      <c r="C854" s="619" t="s"/>
      <c r="D854" s="620" t="s">
        <v>72</v>
      </c>
      <c r="E854" s="621" t="s">
        <v>23</v>
      </c>
      <c r="F854" s="622">
        <f>=F855-F853</f>
        <v>30</v>
      </c>
      <c r="G854" s="479" t="s">
        <v>24</v>
      </c>
      <c r="H854" s="479" t="s">
        <v>50</v>
      </c>
      <c r="I854" s="134" t="s"/>
      <c r="J854" s="134" t="s"/>
      <c r="K854" s="134" t="s"/>
      <c r="L854" s="422">
        <f>=J854-I854</f>
        <v>0</v>
      </c>
      <c r="M854" s="406" t="s"/>
      <c r="N854" s="467" t="s"/>
      <c r="O854" s="127" t="s"/>
      <c r="P854" s="131" t="s">
        <f>=IF(O854&gt;0,"逾期","正常")</f>
        <v>32</v>
      </c>
      <c r="Q854" s="623" t="s"/>
      <c r="R854" s="624" t="s"/>
    </row>
    <row r="855" spans="1:18" s="57" customFormat="1">
      <c r="A855" s="617" t="s"/>
      <c r="B855" s="618" t="s"/>
      <c r="C855" s="619" t="s"/>
      <c r="D855" s="621" t="s">
        <v>28</v>
      </c>
      <c r="E855" s="621" t="s">
        <v>29</v>
      </c>
      <c r="F855" s="601">
        <v>46169</v>
      </c>
      <c r="G855" s="625" t="s">
        <v>30</v>
      </c>
      <c r="H855" s="625" t="s">
        <v>31</v>
      </c>
      <c r="I855" s="601" t="s"/>
      <c r="J855" s="601" t="s"/>
      <c r="K855" s="601" t="s"/>
      <c r="L855" s="625">
        <v>7</v>
      </c>
      <c r="M855" s="601" t="s"/>
      <c r="N855" s="653" t="s"/>
      <c r="O855" s="630" t="s"/>
      <c r="P855" s="131" t="s">
        <f>=IF(O855&gt;0,"逾期","正常")</f>
        <v>32</v>
      </c>
      <c r="Q855" s="623" t="s"/>
      <c r="R855" s="624" t="s"/>
    </row>
    <row r="856" spans="1:18" s="57" customFormat="1">
      <c r="A856" s="617" t="s"/>
      <c r="B856" s="618" t="s"/>
      <c r="C856" s="619" t="s"/>
      <c r="D856" s="626" t="s">
        <v>51</v>
      </c>
      <c r="E856" s="621" t="s">
        <v>34</v>
      </c>
      <c r="F856" s="627">
        <f>=IF(M854="",TODAY()-F853,M854-F853)</f>
        <v>11</v>
      </c>
      <c r="G856" s="625" t="s">
        <v>35</v>
      </c>
      <c r="H856" s="625" t="s"/>
      <c r="I856" s="601" t="s"/>
      <c r="J856" s="601" t="s"/>
      <c r="K856" s="601" t="s"/>
      <c r="L856" s="625" t="s"/>
      <c r="M856" s="601" t="s"/>
      <c r="N856" s="630" t="s"/>
      <c r="O856" s="630" t="s"/>
      <c r="P856" s="131" t="s">
        <f>=IF(O856&gt;0,"逾期","正常")</f>
        <v>32</v>
      </c>
      <c r="Q856" s="623" t="s"/>
      <c r="R856" s="624" t="s"/>
    </row>
    <row r="857" spans="1:18" s="57" customFormat="1">
      <c r="A857" s="631" t="s"/>
      <c r="B857" s="632" t="s"/>
      <c r="C857" s="633" t="s"/>
      <c r="D857" s="634" t="s">
        <v>36</v>
      </c>
      <c r="E857" s="634" t="s">
        <v>37</v>
      </c>
      <c r="F857" s="557">
        <v>0.5</v>
      </c>
      <c r="G857" s="685" t="s">
        <v>38</v>
      </c>
      <c r="H857" s="637" t="s">
        <f>=D854</f>
        <v>72</v>
      </c>
      <c r="I857" s="686" t="s"/>
      <c r="J857" s="686" t="s"/>
      <c r="K857" s="686" t="s"/>
      <c r="L857" s="687">
        <v>90</v>
      </c>
      <c r="M857" s="686" t="s"/>
      <c r="N857" s="639" t="s"/>
      <c r="O857" s="638" t="s"/>
      <c r="P857" s="433" t="s">
        <f>=IF(O857&gt;0,"逾期","正常")</f>
        <v>32</v>
      </c>
      <c r="Q857" s="640" t="s"/>
      <c r="R857" s="641" t="s"/>
    </row>
    <row r="858" spans="1:18" s="57" customFormat="1">
      <c r="A858" s="606" t="s">
        <v>653</v>
      </c>
      <c r="B858" s="607" t="s">
        <v>32</v>
      </c>
      <c r="C858" s="608" t="s">
        <v>654</v>
      </c>
      <c r="D858" s="609" t="s">
        <v>17</v>
      </c>
      <c r="E858" s="609" t="s">
        <v>18</v>
      </c>
      <c r="F858" s="599">
        <v>46139</v>
      </c>
      <c r="G858" s="792" t="s">
        <v>19</v>
      </c>
      <c r="H858" s="793" t="s">
        <v>49</v>
      </c>
      <c r="I858" s="794">
        <f>=F858</f>
        <v>46139</v>
      </c>
      <c r="J858" s="795">
        <v>46154</v>
      </c>
      <c r="K858" s="795">
        <v>46151</v>
      </c>
      <c r="L858" s="796">
        <f>=J858-I858</f>
        <v>15</v>
      </c>
      <c r="M858" s="795" t="s"/>
      <c r="N858" s="584" t="s"/>
      <c r="O858" s="655">
        <f>=IF(M858="",TODAY()-J858,M858-J858)</f>
        <v>-4</v>
      </c>
      <c r="P858" s="131" t="s">
        <f>=IF(O858&gt;0,"逾期","正常")</f>
        <v>32</v>
      </c>
      <c r="Q858" s="615" t="s"/>
      <c r="R858" s="616" t="s"/>
    </row>
    <row r="859" spans="1:18" s="57" customFormat="1">
      <c r="A859" s="617" t="s"/>
      <c r="B859" s="618" t="s"/>
      <c r="C859" s="619" t="s"/>
      <c r="D859" s="620" t="s">
        <v>255</v>
      </c>
      <c r="E859" s="621" t="s">
        <v>23</v>
      </c>
      <c r="F859" s="622">
        <f>=F860-F858</f>
        <v>30</v>
      </c>
      <c r="G859" s="479" t="s">
        <v>24</v>
      </c>
      <c r="H859" s="479" t="s">
        <v>50</v>
      </c>
      <c r="I859" s="134" t="s"/>
      <c r="J859" s="134" t="s"/>
      <c r="K859" s="134" t="s"/>
      <c r="L859" s="422">
        <f>=J859-I859</f>
        <v>0</v>
      </c>
      <c r="M859" s="406" t="s"/>
      <c r="N859" s="467" t="s"/>
      <c r="O859" s="127" t="s"/>
      <c r="P859" s="131" t="s">
        <f>=IF(O859&gt;0,"逾期","正常")</f>
        <v>32</v>
      </c>
      <c r="Q859" s="623" t="s"/>
      <c r="R859" s="624" t="s"/>
    </row>
    <row r="860" spans="1:18" s="57" customFormat="1">
      <c r="A860" s="617" t="s"/>
      <c r="B860" s="618" t="s"/>
      <c r="C860" s="619" t="s"/>
      <c r="D860" s="621" t="s">
        <v>28</v>
      </c>
      <c r="E860" s="621" t="s">
        <v>29</v>
      </c>
      <c r="F860" s="601">
        <v>46169</v>
      </c>
      <c r="G860" s="625" t="s">
        <v>30</v>
      </c>
      <c r="H860" s="625" t="s">
        <v>31</v>
      </c>
      <c r="I860" s="601" t="s"/>
      <c r="J860" s="601" t="s"/>
      <c r="K860" s="601" t="s"/>
      <c r="L860" s="625">
        <v>7</v>
      </c>
      <c r="M860" s="601" t="s"/>
      <c r="N860" s="653" t="s"/>
      <c r="O860" s="630" t="s"/>
      <c r="P860" s="131" t="s">
        <f>=IF(O860&gt;0,"逾期","正常")</f>
        <v>32</v>
      </c>
      <c r="Q860" s="623" t="s"/>
      <c r="R860" s="624" t="s"/>
    </row>
    <row r="861" spans="1:18" s="57" customFormat="1">
      <c r="A861" s="617" t="s"/>
      <c r="B861" s="618" t="s"/>
      <c r="C861" s="619" t="s"/>
      <c r="D861" s="626" t="s">
        <v>46</v>
      </c>
      <c r="E861" s="621" t="s">
        <v>34</v>
      </c>
      <c r="F861" s="627">
        <f>=IF(M859="",TODAY()-F858,M859-F858)</f>
        <v>11</v>
      </c>
      <c r="G861" s="625" t="s">
        <v>35</v>
      </c>
      <c r="H861" s="625" t="s"/>
      <c r="I861" s="601" t="s"/>
      <c r="J861" s="601" t="s"/>
      <c r="K861" s="601" t="s"/>
      <c r="L861" s="625" t="s"/>
      <c r="M861" s="601" t="s"/>
      <c r="N861" s="630" t="s"/>
      <c r="O861" s="630" t="s"/>
      <c r="P861" s="131" t="s">
        <f>=IF(O861&gt;0,"逾期","正常")</f>
        <v>32</v>
      </c>
      <c r="Q861" s="623" t="s"/>
      <c r="R861" s="624" t="s"/>
    </row>
    <row r="862" spans="1:18" s="57" customFormat="1">
      <c r="A862" s="631" t="s"/>
      <c r="B862" s="632" t="s"/>
      <c r="C862" s="633" t="s"/>
      <c r="D862" s="634" t="s">
        <v>36</v>
      </c>
      <c r="E862" s="634" t="s">
        <v>37</v>
      </c>
      <c r="F862" s="557">
        <v>0.3</v>
      </c>
      <c r="G862" s="685" t="s">
        <v>38</v>
      </c>
      <c r="H862" s="637" t="s">
        <f>=D859</f>
        <v>255</v>
      </c>
      <c r="I862" s="686" t="s"/>
      <c r="J862" s="686" t="s"/>
      <c r="K862" s="686" t="s"/>
      <c r="L862" s="687">
        <v>90</v>
      </c>
      <c r="M862" s="686" t="s"/>
      <c r="N862" s="639" t="s"/>
      <c r="O862" s="638" t="s"/>
      <c r="P862" s="433" t="s">
        <f>=IF(O862&gt;0,"逾期","正常")</f>
        <v>32</v>
      </c>
      <c r="Q862" s="640" t="s"/>
      <c r="R862" s="641" t="s"/>
    </row>
    <row r="863" spans="1:18" s="57" customFormat="1">
      <c r="A863" s="606" t="s">
        <v>655</v>
      </c>
      <c r="B863" s="607" t="s">
        <v>32</v>
      </c>
      <c r="C863" s="608" t="s">
        <v>656</v>
      </c>
      <c r="D863" s="609" t="s">
        <v>17</v>
      </c>
      <c r="E863" s="609" t="s">
        <v>18</v>
      </c>
      <c r="F863" s="599">
        <v>46139</v>
      </c>
      <c r="G863" s="792" t="s">
        <v>19</v>
      </c>
      <c r="H863" s="793" t="s">
        <v>309</v>
      </c>
      <c r="I863" s="794">
        <f>=F863</f>
        <v>46139</v>
      </c>
      <c r="J863" s="795">
        <v>46154</v>
      </c>
      <c r="K863" s="795">
        <v>46151</v>
      </c>
      <c r="L863" s="796">
        <f>=J863-I863</f>
        <v>15</v>
      </c>
      <c r="M863" s="795" t="s"/>
      <c r="N863" s="584" t="s"/>
      <c r="O863" s="655">
        <f>=IF(M863="",TODAY()-J863,M863-J863)</f>
        <v>-4</v>
      </c>
      <c r="P863" s="131" t="s">
        <f>=IF(O863&gt;0,"逾期","正常")</f>
        <v>32</v>
      </c>
      <c r="Q863" s="615" t="s"/>
      <c r="R863" s="616" t="s"/>
    </row>
    <row r="864" spans="1:18" s="57" customFormat="1">
      <c r="A864" s="617" t="s"/>
      <c r="B864" s="618" t="s"/>
      <c r="C864" s="619" t="s"/>
      <c r="D864" s="620" t="s">
        <v>180</v>
      </c>
      <c r="E864" s="621" t="s">
        <v>23</v>
      </c>
      <c r="F864" s="622">
        <f>=F865-F863</f>
        <v>30</v>
      </c>
      <c r="G864" s="479" t="s">
        <v>24</v>
      </c>
      <c r="H864" s="479" t="s">
        <v>50</v>
      </c>
      <c r="I864" s="134" t="s"/>
      <c r="J864" s="134" t="s"/>
      <c r="K864" s="134" t="s"/>
      <c r="L864" s="422">
        <f>=J864-I864</f>
        <v>0</v>
      </c>
      <c r="M864" s="406" t="s"/>
      <c r="N864" s="467" t="s"/>
      <c r="O864" s="127" t="s"/>
      <c r="P864" s="131" t="s">
        <f>=IF(O864&gt;0,"逾期","正常")</f>
        <v>32</v>
      </c>
      <c r="Q864" s="623" t="s"/>
      <c r="R864" s="624" t="s"/>
    </row>
    <row r="865" spans="1:18" s="57" customFormat="1">
      <c r="A865" s="617" t="s"/>
      <c r="B865" s="618" t="s"/>
      <c r="C865" s="619" t="s"/>
      <c r="D865" s="621" t="s">
        <v>28</v>
      </c>
      <c r="E865" s="621" t="s">
        <v>29</v>
      </c>
      <c r="F865" s="601">
        <v>46169</v>
      </c>
      <c r="G865" s="625" t="s">
        <v>30</v>
      </c>
      <c r="H865" s="625" t="s">
        <v>31</v>
      </c>
      <c r="I865" s="601" t="s"/>
      <c r="J865" s="601" t="s"/>
      <c r="K865" s="601" t="s"/>
      <c r="L865" s="625">
        <v>7</v>
      </c>
      <c r="M865" s="601" t="s"/>
      <c r="N865" s="653" t="s"/>
      <c r="O865" s="630" t="s"/>
      <c r="P865" s="131" t="s">
        <f>=IF(O865&gt;0,"逾期","正常")</f>
        <v>32</v>
      </c>
      <c r="Q865" s="623" t="s"/>
      <c r="R865" s="624" t="s"/>
    </row>
    <row r="866" spans="1:18" s="57" customFormat="1">
      <c r="A866" s="617" t="s"/>
      <c r="B866" s="618" t="s"/>
      <c r="C866" s="619" t="s"/>
      <c r="D866" s="626" t="s">
        <v>46</v>
      </c>
      <c r="E866" s="621" t="s">
        <v>34</v>
      </c>
      <c r="F866" s="627">
        <f>=IF(M864="",TODAY()-F863,M864-F863)</f>
        <v>11</v>
      </c>
      <c r="G866" s="625" t="s">
        <v>35</v>
      </c>
      <c r="H866" s="625" t="s"/>
      <c r="I866" s="601" t="s"/>
      <c r="J866" s="601" t="s"/>
      <c r="K866" s="601" t="s"/>
      <c r="L866" s="625" t="s"/>
      <c r="M866" s="601" t="s"/>
      <c r="N866" s="630" t="s"/>
      <c r="O866" s="630" t="s"/>
      <c r="P866" s="131" t="s">
        <f>=IF(O866&gt;0,"逾期","正常")</f>
        <v>32</v>
      </c>
      <c r="Q866" s="623" t="s"/>
      <c r="R866" s="624" t="s"/>
    </row>
    <row r="867" spans="1:18" s="57" customFormat="1">
      <c r="A867" s="631" t="s"/>
      <c r="B867" s="632" t="s"/>
      <c r="C867" s="633" t="s"/>
      <c r="D867" s="634" t="s">
        <v>36</v>
      </c>
      <c r="E867" s="634" t="s">
        <v>37</v>
      </c>
      <c r="F867" s="557">
        <v>0.2</v>
      </c>
      <c r="G867" s="685" t="s">
        <v>38</v>
      </c>
      <c r="H867" s="637" t="s">
        <f>=D864</f>
        <v>180</v>
      </c>
      <c r="I867" s="686" t="s"/>
      <c r="J867" s="686" t="s"/>
      <c r="K867" s="686" t="s"/>
      <c r="L867" s="687">
        <v>90</v>
      </c>
      <c r="M867" s="686" t="s"/>
      <c r="N867" s="639" t="s"/>
      <c r="O867" s="638" t="s"/>
      <c r="P867" s="433" t="s">
        <f>=IF(O867&gt;0,"逾期","正常")</f>
        <v>32</v>
      </c>
      <c r="Q867" s="640" t="s"/>
      <c r="R867" s="641" t="s"/>
    </row>
    <row r="868" spans="1:18" s="57" customFormat="1">
      <c r="A868" s="606" t="s">
        <v>657</v>
      </c>
      <c r="B868" s="607" t="s">
        <v>32</v>
      </c>
      <c r="C868" s="608" t="s">
        <v>210</v>
      </c>
      <c r="D868" s="609" t="s">
        <v>17</v>
      </c>
      <c r="E868" s="609" t="s">
        <v>18</v>
      </c>
      <c r="F868" s="599">
        <v>46148</v>
      </c>
      <c r="G868" s="792" t="s">
        <v>19</v>
      </c>
      <c r="H868" s="793" t="s">
        <v>63</v>
      </c>
      <c r="I868" s="794">
        <f>=F868</f>
        <v>46148</v>
      </c>
      <c r="J868" s="795">
        <v>46163</v>
      </c>
      <c r="K868" s="795">
        <v>46160</v>
      </c>
      <c r="L868" s="796">
        <f>=J868-I868</f>
        <v>15</v>
      </c>
      <c r="M868" s="795" t="s"/>
      <c r="N868" s="584" t="s"/>
      <c r="O868" s="655">
        <f>=IF(M868="",TODAY()-J868,M868-J868)</f>
        <v>-13</v>
      </c>
      <c r="P868" s="131" t="s">
        <f>=IF(O868&gt;0,"逾期","正常")</f>
        <v>32</v>
      </c>
      <c r="Q868" s="615" t="s"/>
      <c r="R868" s="616" t="s"/>
    </row>
    <row r="869" spans="1:18" s="57" customFormat="1">
      <c r="A869" s="617" t="s"/>
      <c r="B869" s="618" t="s"/>
      <c r="C869" s="619" t="s"/>
      <c r="D869" s="620" t="s">
        <v>72</v>
      </c>
      <c r="E869" s="621" t="s">
        <v>23</v>
      </c>
      <c r="F869" s="622">
        <f>=F870-F868</f>
        <v>35</v>
      </c>
      <c r="G869" s="479" t="s">
        <v>24</v>
      </c>
      <c r="H869" s="479" t="s">
        <v>50</v>
      </c>
      <c r="I869" s="134" t="s"/>
      <c r="J869" s="134" t="s"/>
      <c r="K869" s="134" t="s"/>
      <c r="L869" s="422">
        <f>=J869-I869</f>
        <v>0</v>
      </c>
      <c r="M869" s="406" t="s"/>
      <c r="N869" s="467" t="s"/>
      <c r="O869" s="127" t="s"/>
      <c r="P869" s="131" t="s">
        <f>=IF(O869&gt;0,"逾期","正常")</f>
        <v>32</v>
      </c>
      <c r="Q869" s="623" t="s"/>
      <c r="R869" s="624" t="s"/>
    </row>
    <row r="870" spans="1:18" s="57" customFormat="1">
      <c r="A870" s="617" t="s"/>
      <c r="B870" s="618" t="s"/>
      <c r="C870" s="619" t="s"/>
      <c r="D870" s="621" t="s">
        <v>28</v>
      </c>
      <c r="E870" s="621" t="s">
        <v>29</v>
      </c>
      <c r="F870" s="601">
        <v>46183</v>
      </c>
      <c r="G870" s="625" t="s">
        <v>30</v>
      </c>
      <c r="H870" s="625" t="s">
        <v>31</v>
      </c>
      <c r="I870" s="601" t="s"/>
      <c r="J870" s="601" t="s"/>
      <c r="K870" s="601" t="s"/>
      <c r="L870" s="625">
        <v>7</v>
      </c>
      <c r="M870" s="601" t="s"/>
      <c r="N870" s="653" t="s"/>
      <c r="O870" s="630" t="s"/>
      <c r="P870" s="131" t="s">
        <f>=IF(O870&gt;0,"逾期","正常")</f>
        <v>32</v>
      </c>
      <c r="Q870" s="623" t="s"/>
      <c r="R870" s="624" t="s"/>
    </row>
    <row r="871" spans="1:18" s="57" customFormat="1">
      <c r="A871" s="617" t="s"/>
      <c r="B871" s="618" t="s"/>
      <c r="C871" s="619" t="s"/>
      <c r="D871" s="626" t="s">
        <v>46</v>
      </c>
      <c r="E871" s="621" t="s">
        <v>34</v>
      </c>
      <c r="F871" s="627">
        <f>=IF(M869="",TODAY()-F868,M869-F868)</f>
        <v>2</v>
      </c>
      <c r="G871" s="625" t="s">
        <v>35</v>
      </c>
      <c r="H871" s="625" t="s"/>
      <c r="I871" s="601" t="s"/>
      <c r="J871" s="601" t="s"/>
      <c r="K871" s="601" t="s"/>
      <c r="L871" s="625" t="s"/>
      <c r="M871" s="601" t="s"/>
      <c r="N871" s="630" t="s"/>
      <c r="O871" s="630" t="s"/>
      <c r="P871" s="131" t="s">
        <f>=IF(O871&gt;0,"逾期","正常")</f>
        <v>32</v>
      </c>
      <c r="Q871" s="623" t="s"/>
      <c r="R871" s="624" t="s"/>
    </row>
    <row r="872" spans="1:18" s="57" customFormat="1">
      <c r="A872" s="631" t="s"/>
      <c r="B872" s="632" t="s"/>
      <c r="C872" s="633" t="s"/>
      <c r="D872" s="634" t="s">
        <v>36</v>
      </c>
      <c r="E872" s="634" t="s">
        <v>37</v>
      </c>
      <c r="F872" s="557">
        <v>0.3</v>
      </c>
      <c r="G872" s="685" t="s">
        <v>38</v>
      </c>
      <c r="H872" s="637" t="s">
        <f>=D869</f>
        <v>72</v>
      </c>
      <c r="I872" s="686" t="s"/>
      <c r="J872" s="686" t="s"/>
      <c r="K872" s="686" t="s"/>
      <c r="L872" s="687">
        <v>90</v>
      </c>
      <c r="M872" s="686" t="s"/>
      <c r="N872" s="639" t="s"/>
      <c r="O872" s="638" t="s"/>
      <c r="P872" s="433" t="s">
        <f>=IF(O872&gt;0,"逾期","正常")</f>
        <v>32</v>
      </c>
      <c r="Q872" s="640" t="s"/>
      <c r="R872" s="641" t="s"/>
    </row>
    <row r="873" spans="1:18" s="57" customFormat="1">
      <c r="A873" s="606" t="s">
        <v>658</v>
      </c>
      <c r="B873" s="607" t="s">
        <v>32</v>
      </c>
      <c r="C873" s="608" t="s">
        <v>89</v>
      </c>
      <c r="D873" s="609" t="s">
        <v>17</v>
      </c>
      <c r="E873" s="609" t="s">
        <v>18</v>
      </c>
      <c r="F873" s="599">
        <v>46148</v>
      </c>
      <c r="G873" s="792" t="s">
        <v>19</v>
      </c>
      <c r="H873" s="793" t="s">
        <v>49</v>
      </c>
      <c r="I873" s="794">
        <f>=F873</f>
        <v>46148</v>
      </c>
      <c r="J873" s="795">
        <v>46163</v>
      </c>
      <c r="K873" s="795">
        <v>46160</v>
      </c>
      <c r="L873" s="796">
        <f>=J873-I873</f>
        <v>15</v>
      </c>
      <c r="M873" s="795" t="s"/>
      <c r="N873" s="584" t="s"/>
      <c r="O873" s="655">
        <f>=IF(M873="",TODAY()-J873,M873-J873)</f>
        <v>-13</v>
      </c>
      <c r="P873" s="131" t="s">
        <f>=IF(O873&gt;0,"逾期","正常")</f>
        <v>32</v>
      </c>
      <c r="Q873" s="615" t="s"/>
      <c r="R873" s="616" t="s"/>
    </row>
    <row r="874" spans="1:18" s="57" customFormat="1">
      <c r="A874" s="617" t="s"/>
      <c r="B874" s="618" t="s"/>
      <c r="C874" s="619" t="s"/>
      <c r="D874" s="620" t="s">
        <v>128</v>
      </c>
      <c r="E874" s="621" t="s">
        <v>23</v>
      </c>
      <c r="F874" s="622">
        <f>=F875-F873</f>
        <v>30</v>
      </c>
      <c r="G874" s="479" t="s">
        <v>24</v>
      </c>
      <c r="H874" s="479" t="s">
        <v>50</v>
      </c>
      <c r="I874" s="134" t="s"/>
      <c r="J874" s="134" t="s"/>
      <c r="K874" s="134" t="s"/>
      <c r="L874" s="422">
        <f>=J874-I874</f>
        <v>0</v>
      </c>
      <c r="M874" s="406" t="s"/>
      <c r="N874" s="467" t="s"/>
      <c r="O874" s="127" t="s"/>
      <c r="P874" s="131" t="s">
        <f>=IF(O874&gt;0,"逾期","正常")</f>
        <v>32</v>
      </c>
      <c r="Q874" s="623" t="s"/>
      <c r="R874" s="624" t="s"/>
    </row>
    <row r="875" spans="1:18" s="57" customFormat="1">
      <c r="A875" s="617" t="s"/>
      <c r="B875" s="618" t="s"/>
      <c r="C875" s="619" t="s"/>
      <c r="D875" s="621" t="s">
        <v>28</v>
      </c>
      <c r="E875" s="621" t="s">
        <v>29</v>
      </c>
      <c r="F875" s="601">
        <v>46178</v>
      </c>
      <c r="G875" s="625" t="s">
        <v>30</v>
      </c>
      <c r="H875" s="625" t="s">
        <v>31</v>
      </c>
      <c r="I875" s="601" t="s"/>
      <c r="J875" s="601" t="s"/>
      <c r="K875" s="601" t="s"/>
      <c r="L875" s="625">
        <v>7</v>
      </c>
      <c r="M875" s="601" t="s"/>
      <c r="N875" s="653" t="s"/>
      <c r="O875" s="630" t="s"/>
      <c r="P875" s="131" t="s">
        <f>=IF(O875&gt;0,"逾期","正常")</f>
        <v>32</v>
      </c>
      <c r="Q875" s="623" t="s"/>
      <c r="R875" s="624" t="s"/>
    </row>
    <row r="876" spans="1:18" s="57" customFormat="1">
      <c r="A876" s="617" t="s"/>
      <c r="B876" s="618" t="s"/>
      <c r="C876" s="619" t="s"/>
      <c r="D876" s="626" t="s">
        <v>46</v>
      </c>
      <c r="E876" s="621" t="s">
        <v>34</v>
      </c>
      <c r="F876" s="627">
        <f>=IF(M874="",TODAY()-F873,M874-F873)</f>
        <v>2</v>
      </c>
      <c r="G876" s="625" t="s">
        <v>35</v>
      </c>
      <c r="H876" s="625" t="s"/>
      <c r="I876" s="601" t="s"/>
      <c r="J876" s="601" t="s"/>
      <c r="K876" s="601" t="s"/>
      <c r="L876" s="625" t="s"/>
      <c r="M876" s="601" t="s"/>
      <c r="N876" s="630" t="s"/>
      <c r="O876" s="630" t="s"/>
      <c r="P876" s="131" t="s">
        <f>=IF(O876&gt;0,"逾期","正常")</f>
        <v>32</v>
      </c>
      <c r="Q876" s="623" t="s"/>
      <c r="R876" s="624" t="s"/>
    </row>
    <row r="877" spans="1:18" s="57" customFormat="1">
      <c r="A877" s="631" t="s"/>
      <c r="B877" s="632" t="s"/>
      <c r="C877" s="633" t="s"/>
      <c r="D877" s="634" t="s">
        <v>36</v>
      </c>
      <c r="E877" s="634" t="s">
        <v>37</v>
      </c>
      <c r="F877" s="557">
        <v>0.3</v>
      </c>
      <c r="G877" s="685" t="s">
        <v>38</v>
      </c>
      <c r="H877" s="637" t="s">
        <f>=D874</f>
        <v>128</v>
      </c>
      <c r="I877" s="686" t="s"/>
      <c r="J877" s="686" t="s"/>
      <c r="K877" s="686" t="s"/>
      <c r="L877" s="687">
        <v>90</v>
      </c>
      <c r="M877" s="686" t="s"/>
      <c r="N877" s="639" t="s"/>
      <c r="O877" s="638" t="s"/>
      <c r="P877" s="433" t="s">
        <f>=IF(O877&gt;0,"逾期","正常")</f>
        <v>32</v>
      </c>
      <c r="Q877" s="640" t="s"/>
      <c r="R877" s="641" t="s"/>
    </row>
    <row r="878" spans="1:18" s="57" customFormat="1">
      <c r="A878" s="606" t="s">
        <v>659</v>
      </c>
      <c r="B878" s="607" t="s">
        <v>32</v>
      </c>
      <c r="C878" s="608" t="s">
        <v>89</v>
      </c>
      <c r="D878" s="609" t="s">
        <v>17</v>
      </c>
      <c r="E878" s="609" t="s">
        <v>18</v>
      </c>
      <c r="F878" s="599">
        <v>46148</v>
      </c>
      <c r="G878" s="792" t="s">
        <v>19</v>
      </c>
      <c r="H878" s="793" t="s">
        <v>49</v>
      </c>
      <c r="I878" s="794">
        <f>=F878</f>
        <v>46148</v>
      </c>
      <c r="J878" s="795">
        <v>46158</v>
      </c>
      <c r="K878" s="795">
        <v>46156</v>
      </c>
      <c r="L878" s="796">
        <f>=J878-I878</f>
        <v>10</v>
      </c>
      <c r="M878" s="795" t="s"/>
      <c r="N878" s="584" t="s"/>
      <c r="O878" s="655">
        <f>=IF(M878="",TODAY()-J878,M878-J878)</f>
        <v>-8</v>
      </c>
      <c r="P878" s="131" t="s">
        <f>=IF(O878&gt;0,"逾期","正常")</f>
        <v>32</v>
      </c>
      <c r="Q878" s="615" t="s"/>
      <c r="R878" s="616" t="s"/>
    </row>
    <row r="879" spans="1:18" s="57" customFormat="1">
      <c r="A879" s="617" t="s"/>
      <c r="B879" s="618" t="s"/>
      <c r="C879" s="619" t="s"/>
      <c r="D879" s="620" t="s">
        <v>72</v>
      </c>
      <c r="E879" s="621" t="s">
        <v>23</v>
      </c>
      <c r="F879" s="622">
        <f>=F880-F878</f>
        <v>23</v>
      </c>
      <c r="G879" s="479" t="s">
        <v>24</v>
      </c>
      <c r="H879" s="479" t="s">
        <v>50</v>
      </c>
      <c r="I879" s="134" t="s"/>
      <c r="J879" s="134" t="s"/>
      <c r="K879" s="134" t="s"/>
      <c r="L879" s="422">
        <f>=J879-I879</f>
        <v>0</v>
      </c>
      <c r="M879" s="406" t="s"/>
      <c r="N879" s="467" t="s"/>
      <c r="O879" s="127" t="s"/>
      <c r="P879" s="131" t="s">
        <f>=IF(O879&gt;0,"逾期","正常")</f>
        <v>32</v>
      </c>
      <c r="Q879" s="623" t="s"/>
      <c r="R879" s="624" t="s"/>
    </row>
    <row r="880" spans="1:18" s="57" customFormat="1">
      <c r="A880" s="617" t="s"/>
      <c r="B880" s="618" t="s"/>
      <c r="C880" s="619" t="s"/>
      <c r="D880" s="621" t="s">
        <v>28</v>
      </c>
      <c r="E880" s="621" t="s">
        <v>29</v>
      </c>
      <c r="F880" s="601">
        <v>46171</v>
      </c>
      <c r="G880" s="625" t="s">
        <v>30</v>
      </c>
      <c r="H880" s="625" t="s">
        <v>31</v>
      </c>
      <c r="I880" s="601" t="s"/>
      <c r="J880" s="601" t="s"/>
      <c r="K880" s="601" t="s"/>
      <c r="L880" s="625">
        <v>7</v>
      </c>
      <c r="M880" s="601" t="s"/>
      <c r="N880" s="653" t="s"/>
      <c r="O880" s="630" t="s"/>
      <c r="P880" s="131" t="s">
        <f>=IF(O880&gt;0,"逾期","正常")</f>
        <v>32</v>
      </c>
      <c r="Q880" s="623" t="s"/>
      <c r="R880" s="624" t="s"/>
    </row>
    <row r="881" spans="1:18" s="57" customFormat="1">
      <c r="A881" s="617" t="s"/>
      <c r="B881" s="618" t="s"/>
      <c r="C881" s="619" t="s"/>
      <c r="D881" s="626" t="s">
        <v>33</v>
      </c>
      <c r="E881" s="621" t="s">
        <v>34</v>
      </c>
      <c r="F881" s="627">
        <f>=IF(M879="",TODAY()-F878,M879-F878)</f>
        <v>2</v>
      </c>
      <c r="G881" s="625" t="s">
        <v>35</v>
      </c>
      <c r="H881" s="625" t="s"/>
      <c r="I881" s="601" t="s"/>
      <c r="J881" s="601" t="s"/>
      <c r="K881" s="601" t="s"/>
      <c r="L881" s="625" t="s"/>
      <c r="M881" s="601" t="s"/>
      <c r="N881" s="630" t="s"/>
      <c r="O881" s="630" t="s"/>
      <c r="P881" s="131" t="s">
        <f>=IF(O881&gt;0,"逾期","正常")</f>
        <v>32</v>
      </c>
      <c r="Q881" s="623" t="s"/>
      <c r="R881" s="624" t="s"/>
    </row>
    <row r="882" spans="1:18" s="57" customFormat="1">
      <c r="A882" s="631" t="s"/>
      <c r="B882" s="632" t="s"/>
      <c r="C882" s="633" t="s"/>
      <c r="D882" s="634" t="s">
        <v>36</v>
      </c>
      <c r="E882" s="634" t="s">
        <v>37</v>
      </c>
      <c r="F882" s="557">
        <v>0.9</v>
      </c>
      <c r="G882" s="685" t="s">
        <v>38</v>
      </c>
      <c r="H882" s="637" t="s">
        <f>=D879</f>
        <v>72</v>
      </c>
      <c r="I882" s="686" t="s"/>
      <c r="J882" s="686" t="s"/>
      <c r="K882" s="686" t="s"/>
      <c r="L882" s="687">
        <v>90</v>
      </c>
      <c r="M882" s="686" t="s"/>
      <c r="N882" s="639" t="s"/>
      <c r="O882" s="638" t="s"/>
      <c r="P882" s="433" t="s">
        <f>=IF(O882&gt;0,"逾期","正常")</f>
        <v>32</v>
      </c>
      <c r="Q882" s="640" t="s"/>
      <c r="R882" s="641" t="s"/>
    </row>
    <row r="883" spans="1:18" s="57" customFormat="1">
      <c r="A883" s="606" t="s">
        <v>660</v>
      </c>
      <c r="B883" s="607" t="s">
        <v>32</v>
      </c>
      <c r="C883" s="608" t="s">
        <v>210</v>
      </c>
      <c r="D883" s="609" t="s">
        <v>17</v>
      </c>
      <c r="E883" s="609" t="s">
        <v>18</v>
      </c>
      <c r="F883" s="599">
        <v>46148</v>
      </c>
      <c r="G883" s="792" t="s">
        <v>19</v>
      </c>
      <c r="H883" s="793" t="s">
        <v>309</v>
      </c>
      <c r="I883" s="794">
        <f>=F883</f>
        <v>46148</v>
      </c>
      <c r="J883" s="795">
        <v>46158</v>
      </c>
      <c r="K883" s="795">
        <v>46156</v>
      </c>
      <c r="L883" s="796">
        <f>=J883-I883</f>
        <v>10</v>
      </c>
      <c r="M883" s="795" t="s"/>
      <c r="N883" s="584" t="s"/>
      <c r="O883" s="655">
        <f>=IF(M883="",TODAY()-J883,M883-J883)</f>
        <v>-8</v>
      </c>
      <c r="P883" s="131" t="s">
        <f>=IF(O883&gt;0,"逾期","正常")</f>
        <v>32</v>
      </c>
      <c r="Q883" s="615" t="s">
        <v>661</v>
      </c>
      <c r="R883" s="616" t="s"/>
    </row>
    <row r="884" spans="1:18" s="57" customFormat="1">
      <c r="A884" s="617" t="s"/>
      <c r="B884" s="618" t="s"/>
      <c r="C884" s="619" t="s"/>
      <c r="D884" s="620" t="s">
        <v>42</v>
      </c>
      <c r="E884" s="621" t="s">
        <v>23</v>
      </c>
      <c r="F884" s="622">
        <f>=F885-F883</f>
        <v>30</v>
      </c>
      <c r="G884" s="479" t="s">
        <v>24</v>
      </c>
      <c r="H884" s="479" t="s">
        <v>50</v>
      </c>
      <c r="I884" s="134" t="s"/>
      <c r="J884" s="134" t="s"/>
      <c r="K884" s="134" t="s"/>
      <c r="L884" s="422">
        <f>=J884-I884</f>
        <v>0</v>
      </c>
      <c r="M884" s="406" t="s"/>
      <c r="N884" s="467" t="s"/>
      <c r="O884" s="127" t="s"/>
      <c r="P884" s="131" t="s">
        <f>=IF(O884&gt;0,"逾期","正常")</f>
        <v>32</v>
      </c>
      <c r="Q884" s="623" t="s"/>
      <c r="R884" s="624" t="s"/>
    </row>
    <row r="885" spans="1:18" s="57" customFormat="1">
      <c r="A885" s="617" t="s"/>
      <c r="B885" s="618" t="s"/>
      <c r="C885" s="619" t="s"/>
      <c r="D885" s="621" t="s">
        <v>28</v>
      </c>
      <c r="E885" s="621" t="s">
        <v>29</v>
      </c>
      <c r="F885" s="601">
        <v>46178</v>
      </c>
      <c r="G885" s="625" t="s">
        <v>30</v>
      </c>
      <c r="H885" s="625" t="s">
        <v>31</v>
      </c>
      <c r="I885" s="601" t="s"/>
      <c r="J885" s="601" t="s"/>
      <c r="K885" s="601" t="s"/>
      <c r="L885" s="625">
        <v>7</v>
      </c>
      <c r="M885" s="601" t="s"/>
      <c r="N885" s="653" t="s"/>
      <c r="O885" s="630" t="s"/>
      <c r="P885" s="131" t="s">
        <f>=IF(O885&gt;0,"逾期","正常")</f>
        <v>32</v>
      </c>
      <c r="Q885" s="623" t="s"/>
      <c r="R885" s="624" t="s"/>
    </row>
    <row r="886" spans="1:18" s="57" customFormat="1">
      <c r="A886" s="617" t="s"/>
      <c r="B886" s="618" t="s"/>
      <c r="C886" s="619" t="s"/>
      <c r="D886" s="626" t="s">
        <v>46</v>
      </c>
      <c r="E886" s="621" t="s">
        <v>34</v>
      </c>
      <c r="F886" s="627">
        <f>=IF(M884="",TODAY()-F883,M884-F883)</f>
        <v>2</v>
      </c>
      <c r="G886" s="625" t="s">
        <v>35</v>
      </c>
      <c r="H886" s="625" t="s"/>
      <c r="I886" s="601" t="s"/>
      <c r="J886" s="601" t="s"/>
      <c r="K886" s="601" t="s"/>
      <c r="L886" s="625" t="s"/>
      <c r="M886" s="601" t="s"/>
      <c r="N886" s="630" t="s"/>
      <c r="O886" s="630" t="s"/>
      <c r="P886" s="131" t="s">
        <f>=IF(O886&gt;0,"逾期","正常")</f>
        <v>32</v>
      </c>
      <c r="Q886" s="623" t="s"/>
      <c r="R886" s="624" t="s"/>
    </row>
    <row r="887" spans="1:18" s="57" customFormat="1">
      <c r="A887" s="631" t="s"/>
      <c r="B887" s="632" t="s"/>
      <c r="C887" s="633" t="s"/>
      <c r="D887" s="634" t="s">
        <v>36</v>
      </c>
      <c r="E887" s="634" t="s">
        <v>37</v>
      </c>
      <c r="F887" s="557">
        <v>0.4</v>
      </c>
      <c r="G887" s="685" t="s">
        <v>38</v>
      </c>
      <c r="H887" s="637" t="s">
        <f>=D884</f>
        <v>42</v>
      </c>
      <c r="I887" s="686" t="s"/>
      <c r="J887" s="686" t="s"/>
      <c r="K887" s="686" t="s"/>
      <c r="L887" s="687">
        <v>90</v>
      </c>
      <c r="M887" s="686" t="s"/>
      <c r="N887" s="639" t="s"/>
      <c r="O887" s="638" t="s"/>
      <c r="P887" s="433" t="s">
        <f>=IF(O887&gt;0,"逾期","正常")</f>
        <v>32</v>
      </c>
      <c r="Q887" s="640" t="s"/>
      <c r="R887" s="641" t="s"/>
    </row>
    <row r="888" spans="1:18" s="57" customFormat="1">
      <c r="A888" s="606" t="s">
        <v>662</v>
      </c>
      <c r="B888" s="607" t="s">
        <v>32</v>
      </c>
      <c r="C888" s="608" t="s">
        <v>624</v>
      </c>
      <c r="D888" s="609" t="s">
        <v>17</v>
      </c>
      <c r="E888" s="609" t="s">
        <v>18</v>
      </c>
      <c r="F888" s="599">
        <v>46148</v>
      </c>
      <c r="G888" s="792" t="s">
        <v>19</v>
      </c>
      <c r="H888" s="793" t="s">
        <v>119</v>
      </c>
      <c r="I888" s="794">
        <f>=F888</f>
        <v>46148</v>
      </c>
      <c r="J888" s="795">
        <v>46163</v>
      </c>
      <c r="K888" s="795">
        <v>46160</v>
      </c>
      <c r="L888" s="796">
        <f>=J888-I888</f>
        <v>15</v>
      </c>
      <c r="M888" s="795" t="s"/>
      <c r="N888" s="584" t="s"/>
      <c r="O888" s="655">
        <f>=IF(M888="",TODAY()-J888,M888-J888)</f>
        <v>-13</v>
      </c>
      <c r="P888" s="131" t="s">
        <f>=IF(O888&gt;0,"逾期","正常")</f>
        <v>32</v>
      </c>
      <c r="Q888" s="615" t="s"/>
      <c r="R888" s="616" t="s"/>
    </row>
    <row r="889" spans="1:18" s="57" customFormat="1">
      <c r="A889" s="617" t="s"/>
      <c r="B889" s="618" t="s"/>
      <c r="C889" s="619" t="s"/>
      <c r="D889" s="620" t="s">
        <v>57</v>
      </c>
      <c r="E889" s="621" t="s">
        <v>23</v>
      </c>
      <c r="F889" s="622">
        <f>=F890-F888</f>
        <v>30</v>
      </c>
      <c r="G889" s="479" t="s">
        <v>24</v>
      </c>
      <c r="H889" s="479" t="s">
        <v>50</v>
      </c>
      <c r="I889" s="134" t="s"/>
      <c r="J889" s="134" t="s"/>
      <c r="K889" s="134" t="s"/>
      <c r="L889" s="422">
        <f>=J889-I889</f>
        <v>0</v>
      </c>
      <c r="M889" s="406" t="s"/>
      <c r="N889" s="467" t="s"/>
      <c r="O889" s="127" t="s"/>
      <c r="P889" s="131" t="s">
        <f>=IF(O889&gt;0,"逾期","正常")</f>
        <v>32</v>
      </c>
      <c r="Q889" s="623" t="s"/>
      <c r="R889" s="624" t="s"/>
    </row>
    <row r="890" spans="1:18" s="57" customFormat="1">
      <c r="A890" s="617" t="s"/>
      <c r="B890" s="618" t="s"/>
      <c r="C890" s="619" t="s"/>
      <c r="D890" s="621" t="s">
        <v>28</v>
      </c>
      <c r="E890" s="621" t="s">
        <v>29</v>
      </c>
      <c r="F890" s="601">
        <v>46178</v>
      </c>
      <c r="G890" s="625" t="s">
        <v>30</v>
      </c>
      <c r="H890" s="625" t="s">
        <v>31</v>
      </c>
      <c r="I890" s="601" t="s"/>
      <c r="J890" s="601" t="s"/>
      <c r="K890" s="601" t="s"/>
      <c r="L890" s="625">
        <v>7</v>
      </c>
      <c r="M890" s="601" t="s"/>
      <c r="N890" s="653" t="s"/>
      <c r="O890" s="630" t="s"/>
      <c r="P890" s="131" t="s">
        <f>=IF(O890&gt;0,"逾期","正常")</f>
        <v>32</v>
      </c>
      <c r="Q890" s="623" t="s"/>
      <c r="R890" s="624" t="s"/>
    </row>
    <row r="891" spans="1:18" s="57" customFormat="1">
      <c r="A891" s="617" t="s"/>
      <c r="B891" s="618" t="s"/>
      <c r="C891" s="619" t="s"/>
      <c r="D891" s="626" t="s">
        <v>33</v>
      </c>
      <c r="E891" s="621" t="s">
        <v>34</v>
      </c>
      <c r="F891" s="627">
        <f>=IF(M889="",TODAY()-F888,M889-F888)</f>
        <v>2</v>
      </c>
      <c r="G891" s="625" t="s">
        <v>35</v>
      </c>
      <c r="H891" s="625" t="s"/>
      <c r="I891" s="601" t="s"/>
      <c r="J891" s="601" t="s"/>
      <c r="K891" s="601" t="s"/>
      <c r="L891" s="625" t="s"/>
      <c r="M891" s="601" t="s"/>
      <c r="N891" s="630" t="s"/>
      <c r="O891" s="630" t="s"/>
      <c r="P891" s="131" t="s">
        <f>=IF(O891&gt;0,"逾期","正常")</f>
        <v>32</v>
      </c>
      <c r="Q891" s="623" t="s"/>
      <c r="R891" s="624" t="s"/>
    </row>
    <row r="892" spans="1:18" s="57" customFormat="1">
      <c r="A892" s="631" t="s"/>
      <c r="B892" s="632" t="s"/>
      <c r="C892" s="633" t="s"/>
      <c r="D892" s="634" t="s">
        <v>36</v>
      </c>
      <c r="E892" s="634" t="s">
        <v>37</v>
      </c>
      <c r="F892" s="557">
        <v>0.3</v>
      </c>
      <c r="G892" s="685" t="s">
        <v>38</v>
      </c>
      <c r="H892" s="637" t="s">
        <f>=D889</f>
        <v>57</v>
      </c>
      <c r="I892" s="686" t="s"/>
      <c r="J892" s="686" t="s"/>
      <c r="K892" s="686" t="s"/>
      <c r="L892" s="687">
        <v>90</v>
      </c>
      <c r="M892" s="686" t="s"/>
      <c r="N892" s="639" t="s"/>
      <c r="O892" s="638" t="s"/>
      <c r="P892" s="433" t="s">
        <f>=IF(O892&gt;0,"逾期","正常")</f>
        <v>32</v>
      </c>
      <c r="Q892" s="640" t="s"/>
      <c r="R892" s="641" t="s"/>
    </row>
    <row r="893" spans="1:17" s="57" customFormat="1">
      <c r="A893" s="798" t="s"/>
      <c r="B893" s="799" t="s"/>
      <c r="C893" s="798" t="s"/>
      <c r="D893" s="800" t="s"/>
      <c r="E893" s="800" t="s"/>
      <c r="F893" s="801" t="s"/>
      <c r="G893" s="802" t="s"/>
      <c r="H893" s="803" t="s"/>
      <c r="I893" s="804" t="s"/>
      <c r="J893" s="804" t="s"/>
      <c r="K893" s="804" t="s"/>
      <c r="L893" s="798" t="s"/>
      <c r="M893" s="804" t="s"/>
      <c r="N893" s="805" t="s"/>
      <c r="O893" s="798" t="s"/>
      <c r="P893" s="806" t="s"/>
      <c r="Q893" s="807" t="s"/>
    </row>
    <row r="894" spans="1:17" s="57" customFormat="1">
      <c r="A894" s="798" t="s"/>
      <c r="B894" s="799" t="s"/>
      <c r="C894" s="798" t="s"/>
      <c r="D894" s="800" t="s"/>
      <c r="E894" s="800" t="s"/>
      <c r="F894" s="801" t="s"/>
      <c r="G894" s="802" t="s"/>
      <c r="H894" s="803" t="s"/>
      <c r="I894" s="804" t="s"/>
      <c r="J894" s="804" t="s"/>
      <c r="K894" s="804" t="s"/>
      <c r="L894" s="798" t="s"/>
      <c r="M894" s="804" t="s"/>
      <c r="N894" s="805" t="s"/>
      <c r="O894" s="798" t="s"/>
      <c r="P894" s="806" t="s"/>
      <c r="Q894" s="807" t="s"/>
    </row>
    <row r="895" spans="1:17" s="57" customFormat="1">
      <c r="A895" s="798" t="s"/>
      <c r="B895" s="799" t="s"/>
      <c r="C895" s="798" t="s"/>
      <c r="D895" s="800" t="s"/>
      <c r="E895" s="800" t="s"/>
      <c r="F895" s="801" t="s"/>
      <c r="G895" s="802" t="s"/>
      <c r="H895" s="803" t="s"/>
      <c r="I895" s="804" t="s"/>
      <c r="J895" s="804" t="s"/>
      <c r="K895" s="804" t="s"/>
      <c r="L895" s="798" t="s"/>
      <c r="M895" s="804" t="s"/>
      <c r="N895" s="805" t="s"/>
      <c r="O895" s="798" t="s"/>
      <c r="P895" s="806" t="s"/>
      <c r="Q895" s="807" t="s"/>
    </row>
    <row r="896" spans="1:17" s="57" customFormat="1">
      <c r="A896" s="798" t="s"/>
      <c r="B896" s="799" t="s"/>
      <c r="C896" s="798" t="s"/>
      <c r="D896" s="800" t="s"/>
      <c r="E896" s="800" t="s"/>
      <c r="F896" s="801" t="s"/>
      <c r="G896" s="802" t="s"/>
      <c r="H896" s="803" t="s"/>
      <c r="I896" s="804" t="s"/>
      <c r="J896" s="804" t="s"/>
      <c r="K896" s="804" t="s"/>
      <c r="L896" s="798" t="s"/>
      <c r="M896" s="804" t="s"/>
      <c r="N896" s="805" t="s"/>
      <c r="O896" s="798" t="s"/>
      <c r="P896" s="806" t="s"/>
      <c r="Q896" s="807" t="s"/>
    </row>
    <row r="897" spans="1:17" s="57" customFormat="1">
      <c r="A897" s="798" t="s"/>
      <c r="B897" s="799" t="s"/>
      <c r="C897" s="798" t="s"/>
      <c r="D897" s="800" t="s"/>
      <c r="E897" s="800" t="s"/>
      <c r="F897" s="801" t="s"/>
      <c r="G897" s="802" t="s"/>
      <c r="H897" s="803" t="s"/>
      <c r="I897" s="804" t="s"/>
      <c r="J897" s="804" t="s"/>
      <c r="K897" s="804" t="s"/>
      <c r="L897" s="798" t="s"/>
      <c r="M897" s="804" t="s"/>
      <c r="N897" s="805" t="s"/>
      <c r="O897" s="798" t="s"/>
      <c r="P897" s="806" t="s"/>
      <c r="Q897" s="807" t="s"/>
    </row>
    <row r="898" spans="1:17" s="57" customFormat="1">
      <c r="A898" s="798" t="s"/>
      <c r="B898" s="799" t="s"/>
      <c r="C898" s="798" t="s"/>
      <c r="D898" s="800" t="s"/>
      <c r="E898" s="800" t="s"/>
      <c r="F898" s="801" t="s"/>
      <c r="G898" s="802" t="s"/>
      <c r="H898" s="803" t="s"/>
      <c r="I898" s="804" t="s"/>
      <c r="J898" s="804" t="s"/>
      <c r="K898" s="804" t="s"/>
      <c r="L898" s="798" t="s"/>
      <c r="M898" s="804" t="s"/>
      <c r="N898" s="805" t="s"/>
      <c r="O898" s="798" t="s"/>
      <c r="P898" s="806" t="s"/>
      <c r="Q898" s="807" t="s"/>
    </row>
    <row r="899" spans="1:17" s="57" customFormat="1">
      <c r="A899" s="798" t="s"/>
      <c r="B899" s="799" t="s"/>
      <c r="C899" s="798" t="s"/>
      <c r="D899" s="800" t="s"/>
      <c r="E899" s="800" t="s"/>
      <c r="F899" s="801" t="s"/>
      <c r="G899" s="802" t="s"/>
      <c r="H899" s="803" t="s"/>
      <c r="I899" s="804" t="s"/>
      <c r="J899" s="804" t="s"/>
      <c r="K899" s="804" t="s"/>
      <c r="L899" s="798" t="s"/>
      <c r="M899" s="804" t="s"/>
      <c r="N899" s="805" t="s"/>
      <c r="O899" s="798" t="s"/>
      <c r="P899" s="806" t="s"/>
      <c r="Q899" s="807" t="s"/>
    </row>
    <row r="900" spans="1:17" s="57" customFormat="1">
      <c r="A900" s="798" t="s"/>
      <c r="B900" s="799" t="s"/>
      <c r="C900" s="798" t="s"/>
      <c r="D900" s="800" t="s"/>
      <c r="E900" s="800" t="s"/>
      <c r="F900" s="801" t="s"/>
      <c r="G900" s="802" t="s"/>
      <c r="H900" s="803" t="s"/>
      <c r="I900" s="804" t="s"/>
      <c r="J900" s="804" t="s"/>
      <c r="K900" s="804" t="s"/>
      <c r="L900" s="798" t="s"/>
      <c r="M900" s="804" t="s"/>
      <c r="N900" s="805" t="s"/>
      <c r="O900" s="798" t="s"/>
      <c r="P900" s="806" t="s"/>
      <c r="Q900" s="807" t="s"/>
    </row>
    <row r="901" spans="1:17" s="57" customFormat="1">
      <c r="A901" s="798" t="s"/>
      <c r="B901" s="799" t="s"/>
      <c r="C901" s="798" t="s"/>
      <c r="D901" s="800" t="s"/>
      <c r="E901" s="800" t="s"/>
      <c r="F901" s="801" t="s"/>
      <c r="G901" s="802" t="s"/>
      <c r="H901" s="803" t="s"/>
      <c r="I901" s="804" t="s"/>
      <c r="J901" s="804" t="s"/>
      <c r="K901" s="804" t="s"/>
      <c r="L901" s="798" t="s"/>
      <c r="M901" s="804" t="s"/>
      <c r="N901" s="805" t="s"/>
      <c r="O901" s="798" t="s"/>
      <c r="P901" s="806" t="s"/>
      <c r="Q901" s="807" t="s"/>
    </row>
    <row r="902" spans="1:17" s="57" customFormat="1">
      <c r="A902" s="798" t="s"/>
      <c r="B902" s="799" t="s"/>
      <c r="C902" s="798" t="s"/>
      <c r="D902" s="800" t="s"/>
      <c r="E902" s="800" t="s"/>
      <c r="F902" s="801" t="s"/>
      <c r="G902" s="802" t="s"/>
      <c r="H902" s="803" t="s"/>
      <c r="I902" s="804" t="s"/>
      <c r="J902" s="804" t="s"/>
      <c r="K902" s="804" t="s"/>
      <c r="L902" s="798" t="s"/>
      <c r="M902" s="804" t="s"/>
      <c r="N902" s="805" t="s"/>
      <c r="O902" s="798" t="s"/>
      <c r="P902" s="806" t="s"/>
      <c r="Q902" s="807" t="s"/>
    </row>
    <row r="903" spans="1:17" s="57" customFormat="1">
      <c r="A903" s="798" t="s"/>
      <c r="B903" s="799" t="s"/>
      <c r="C903" s="798" t="s"/>
      <c r="D903" s="800" t="s"/>
      <c r="E903" s="800" t="s"/>
      <c r="F903" s="801" t="s"/>
      <c r="G903" s="802" t="s"/>
      <c r="H903" s="803" t="s"/>
      <c r="I903" s="804" t="s"/>
      <c r="J903" s="804" t="s"/>
      <c r="K903" s="804" t="s"/>
      <c r="L903" s="798" t="s"/>
      <c r="M903" s="804" t="s"/>
      <c r="N903" s="805" t="s"/>
      <c r="O903" s="798" t="s"/>
      <c r="P903" s="806" t="s"/>
      <c r="Q903" s="807" t="s"/>
    </row>
    <row r="904" spans="1:17" s="57" customFormat="1">
      <c r="A904" s="798" t="s"/>
      <c r="B904" s="799" t="s"/>
      <c r="C904" s="798" t="s"/>
      <c r="D904" s="800" t="s"/>
      <c r="E904" s="800" t="s"/>
      <c r="F904" s="801" t="s"/>
      <c r="G904" s="802" t="s"/>
      <c r="H904" s="803" t="s"/>
      <c r="I904" s="804" t="s"/>
      <c r="J904" s="804" t="s"/>
      <c r="K904" s="804" t="s"/>
      <c r="L904" s="798" t="s"/>
      <c r="M904" s="804" t="s"/>
      <c r="N904" s="805" t="s"/>
      <c r="O904" s="798" t="s"/>
      <c r="P904" s="806" t="s"/>
      <c r="Q904" s="807" t="s"/>
    </row>
    <row r="905" spans="1:17" s="57" customFormat="1">
      <c r="A905" s="798" t="s"/>
      <c r="B905" s="799" t="s"/>
      <c r="C905" s="798" t="s"/>
      <c r="D905" s="800" t="s"/>
      <c r="E905" s="800" t="s"/>
      <c r="F905" s="801" t="s"/>
      <c r="G905" s="802" t="s"/>
      <c r="H905" s="803" t="s"/>
      <c r="I905" s="804" t="s"/>
      <c r="J905" s="804" t="s"/>
      <c r="K905" s="804" t="s"/>
      <c r="L905" s="798" t="s"/>
      <c r="M905" s="804" t="s"/>
      <c r="N905" s="805" t="s"/>
      <c r="O905" s="798" t="s"/>
      <c r="P905" s="806" t="s"/>
      <c r="Q905" s="807" t="s"/>
    </row>
    <row r="906" spans="1:17" s="57" customFormat="1">
      <c r="A906" s="798" t="s"/>
      <c r="B906" s="799" t="s"/>
      <c r="C906" s="798" t="s"/>
      <c r="D906" s="800" t="s"/>
      <c r="E906" s="800" t="s"/>
      <c r="F906" s="801" t="s"/>
      <c r="G906" s="802" t="s"/>
      <c r="H906" s="803" t="s"/>
      <c r="I906" s="804" t="s"/>
      <c r="J906" s="804" t="s"/>
      <c r="K906" s="804" t="s"/>
      <c r="L906" s="798" t="s"/>
      <c r="M906" s="804" t="s"/>
      <c r="N906" s="805" t="s"/>
      <c r="O906" s="798" t="s"/>
      <c r="P906" s="806" t="s"/>
      <c r="Q906" s="807" t="s"/>
    </row>
    <row r="907" spans="1:17" s="57" customFormat="1">
      <c r="A907" s="798" t="s"/>
      <c r="B907" s="799" t="s"/>
      <c r="C907" s="798" t="s"/>
      <c r="D907" s="800" t="s"/>
      <c r="E907" s="800" t="s"/>
      <c r="F907" s="801" t="s"/>
      <c r="G907" s="802" t="s"/>
      <c r="H907" s="803" t="s"/>
      <c r="I907" s="804" t="s"/>
      <c r="J907" s="804" t="s"/>
      <c r="K907" s="804" t="s"/>
      <c r="L907" s="798" t="s"/>
      <c r="M907" s="804" t="s"/>
      <c r="N907" s="805" t="s"/>
      <c r="O907" s="798" t="s"/>
      <c r="P907" s="806" t="s"/>
      <c r="Q907" s="807" t="s"/>
    </row>
    <row r="908" spans="1:17" s="57" customFormat="1">
      <c r="A908" s="798" t="s"/>
      <c r="B908" s="799" t="s"/>
      <c r="C908" s="798" t="s"/>
      <c r="D908" s="800" t="s"/>
      <c r="E908" s="800" t="s"/>
      <c r="F908" s="801" t="s"/>
      <c r="G908" s="802" t="s"/>
      <c r="H908" s="803" t="s"/>
      <c r="I908" s="804" t="s"/>
      <c r="J908" s="804" t="s"/>
      <c r="K908" s="804" t="s"/>
      <c r="L908" s="798" t="s"/>
      <c r="M908" s="804" t="s"/>
      <c r="N908" s="805" t="s"/>
      <c r="O908" s="798" t="s"/>
      <c r="P908" s="806" t="s"/>
      <c r="Q908" s="807" t="s"/>
    </row>
    <row r="909" spans="1:17" s="57" customFormat="1">
      <c r="A909" s="798" t="s"/>
      <c r="B909" s="799" t="s"/>
      <c r="C909" s="798" t="s"/>
      <c r="D909" s="800" t="s"/>
      <c r="E909" s="800" t="s"/>
      <c r="F909" s="801" t="s"/>
      <c r="G909" s="802" t="s"/>
      <c r="H909" s="803" t="s"/>
      <c r="I909" s="804" t="s"/>
      <c r="J909" s="804" t="s"/>
      <c r="K909" s="804" t="s"/>
      <c r="L909" s="798" t="s"/>
      <c r="M909" s="804" t="s"/>
      <c r="N909" s="805" t="s"/>
      <c r="O909" s="798" t="s"/>
      <c r="P909" s="806" t="s"/>
      <c r="Q909" s="807" t="s"/>
    </row>
    <row r="910" spans="1:17" s="57" customFormat="1">
      <c r="A910" s="798" t="s"/>
      <c r="B910" s="799" t="s"/>
      <c r="C910" s="798" t="s"/>
      <c r="D910" s="800" t="s"/>
      <c r="E910" s="800" t="s"/>
      <c r="F910" s="801" t="s"/>
      <c r="G910" s="802" t="s"/>
      <c r="H910" s="803" t="s"/>
      <c r="I910" s="804" t="s"/>
      <c r="J910" s="804" t="s"/>
      <c r="K910" s="804" t="s"/>
      <c r="L910" s="798" t="s"/>
      <c r="M910" s="804" t="s"/>
      <c r="N910" s="805" t="s"/>
      <c r="O910" s="798" t="s"/>
      <c r="P910" s="806" t="s"/>
      <c r="Q910" s="807" t="s"/>
    </row>
    <row r="911" spans="1:17" s="57" customFormat="1">
      <c r="A911" s="798" t="s"/>
      <c r="B911" s="799" t="s"/>
      <c r="C911" s="798" t="s"/>
      <c r="D911" s="800" t="s"/>
      <c r="E911" s="800" t="s"/>
      <c r="F911" s="801" t="s"/>
      <c r="G911" s="802" t="s"/>
      <c r="H911" s="803" t="s"/>
      <c r="I911" s="804" t="s"/>
      <c r="J911" s="804" t="s"/>
      <c r="K911" s="804" t="s"/>
      <c r="L911" s="798" t="s"/>
      <c r="M911" s="804" t="s"/>
      <c r="N911" s="805" t="s"/>
      <c r="O911" s="798" t="s"/>
      <c r="P911" s="806" t="s"/>
      <c r="Q911" s="807" t="s"/>
    </row>
    <row r="912" spans="1:17" s="57" customFormat="1">
      <c r="A912" s="798" t="s"/>
      <c r="B912" s="799" t="s"/>
      <c r="C912" s="798" t="s"/>
      <c r="D912" s="800" t="s"/>
      <c r="E912" s="800" t="s"/>
      <c r="F912" s="801" t="s"/>
      <c r="G912" s="802" t="s"/>
      <c r="H912" s="803" t="s"/>
      <c r="I912" s="804" t="s"/>
      <c r="J912" s="804" t="s"/>
      <c r="K912" s="804" t="s"/>
      <c r="L912" s="798" t="s"/>
      <c r="M912" s="804" t="s"/>
      <c r="N912" s="805" t="s"/>
      <c r="O912" s="798" t="s"/>
      <c r="P912" s="806" t="s"/>
      <c r="Q912" s="807" t="s"/>
    </row>
    <row r="913" spans="1:17" s="57" customFormat="1">
      <c r="A913" s="798" t="s"/>
      <c r="B913" s="799" t="s"/>
      <c r="C913" s="798" t="s"/>
      <c r="D913" s="800" t="s"/>
      <c r="E913" s="800" t="s"/>
      <c r="F913" s="801" t="s"/>
      <c r="G913" s="802" t="s"/>
      <c r="H913" s="803" t="s"/>
      <c r="I913" s="804" t="s"/>
      <c r="J913" s="804" t="s"/>
      <c r="K913" s="804" t="s"/>
      <c r="L913" s="798" t="s"/>
      <c r="M913" s="804" t="s"/>
      <c r="N913" s="805" t="s"/>
      <c r="O913" s="798" t="s"/>
      <c r="P913" s="806" t="s"/>
      <c r="Q913" s="807" t="s"/>
    </row>
  </sheetData>
  <autoFilter ref="A1:P892">
    <sortState ref="A2:P892"/>
  </autoFilter>
  <mergeCells count="549">
    <mergeCell ref="A112:A116"/>
    <mergeCell ref="C112:C116"/>
    <mergeCell ref="A97:A101"/>
    <mergeCell ref="C97:C101"/>
    <mergeCell ref="A102:A106"/>
    <mergeCell ref="C102:C106"/>
    <mergeCell ref="C107:C111"/>
    <mergeCell ref="C87:C91"/>
    <mergeCell ref="C92:C96"/>
    <mergeCell ref="C82:C86"/>
    <mergeCell ref="C77:C81"/>
    <mergeCell ref="A72:A76"/>
    <mergeCell ref="C72:C76"/>
    <mergeCell ref="B72:B76"/>
    <mergeCell ref="B77:B81"/>
    <mergeCell ref="B82:B86"/>
    <mergeCell ref="B97:B101"/>
    <mergeCell ref="B107:B111"/>
    <mergeCell ref="B92:B96"/>
    <mergeCell ref="B87:B91"/>
    <mergeCell ref="B102:B106"/>
    <mergeCell ref="B112:B116"/>
    <mergeCell ref="A107:A111"/>
    <mergeCell ref="A92:A96"/>
    <mergeCell ref="A87:A91"/>
    <mergeCell ref="A82:A86"/>
    <mergeCell ref="A77:A81"/>
    <mergeCell ref="A67:A71"/>
    <mergeCell ref="B67:B71"/>
    <mergeCell ref="C67:C71"/>
    <mergeCell ref="A57:A61"/>
    <mergeCell ref="B57:B61"/>
    <mergeCell ref="C57:C61"/>
    <mergeCell ref="A62:A66"/>
    <mergeCell ref="B62:B66"/>
    <mergeCell ref="C62:C66"/>
    <mergeCell ref="A42:A46"/>
    <mergeCell ref="B42:B46"/>
    <mergeCell ref="C42:C46"/>
    <mergeCell ref="A47:A51"/>
    <mergeCell ref="B47:B51"/>
    <mergeCell ref="C47:C51"/>
    <mergeCell ref="A52:A56"/>
    <mergeCell ref="B52:B56"/>
    <mergeCell ref="C52:C56"/>
    <mergeCell ref="A37:A41"/>
    <mergeCell ref="B37:B41"/>
    <mergeCell ref="C37:C41"/>
    <mergeCell ref="A117:A121"/>
    <mergeCell ref="B117:B121"/>
    <mergeCell ref="C117:C121"/>
    <mergeCell ref="A32:A36"/>
    <mergeCell ref="B32:B36"/>
    <mergeCell ref="C32:C36"/>
    <mergeCell ref="A27:A31"/>
    <mergeCell ref="B27:B31"/>
    <mergeCell ref="C27:C31"/>
    <mergeCell ref="A22:A26"/>
    <mergeCell ref="B22:B26"/>
    <mergeCell ref="C22:C26"/>
    <mergeCell ref="A7:A11"/>
    <mergeCell ref="B7:B11"/>
    <mergeCell ref="C7:C11"/>
    <mergeCell ref="A17:A21"/>
    <mergeCell ref="B17:B21"/>
    <mergeCell ref="C17:C21"/>
    <mergeCell ref="A2:A6"/>
    <mergeCell ref="B2:B6"/>
    <mergeCell ref="C2:C6"/>
    <mergeCell ref="A122:A126"/>
    <mergeCell ref="B122:B126"/>
    <mergeCell ref="C122:C126"/>
    <mergeCell ref="A127:A131"/>
    <mergeCell ref="B127:B131"/>
    <mergeCell ref="C127:C131"/>
    <mergeCell ref="A12:A16"/>
    <mergeCell ref="B12:B16"/>
    <mergeCell ref="C12:C16"/>
    <mergeCell ref="A132:A136"/>
    <mergeCell ref="B132:B136"/>
    <mergeCell ref="C132:C136"/>
    <mergeCell ref="A137:A141"/>
    <mergeCell ref="B137:B141"/>
    <mergeCell ref="C137:C141"/>
    <mergeCell ref="A142:A146"/>
    <mergeCell ref="B142:B146"/>
    <mergeCell ref="C142:C146"/>
    <mergeCell ref="A147:A151"/>
    <mergeCell ref="B147:B151"/>
    <mergeCell ref="C147:C151"/>
    <mergeCell ref="A152:A156"/>
    <mergeCell ref="B152:B156"/>
    <mergeCell ref="C152:C156"/>
    <mergeCell ref="A162:A166"/>
    <mergeCell ref="B162:B166"/>
    <mergeCell ref="C162:C166"/>
    <mergeCell ref="A167:A171"/>
    <mergeCell ref="B167:B171"/>
    <mergeCell ref="C167:C171"/>
    <mergeCell ref="A172:A176"/>
    <mergeCell ref="B172:B176"/>
    <mergeCell ref="C172:C176"/>
    <mergeCell ref="C157:C161"/>
    <mergeCell ref="B157:B161"/>
    <mergeCell ref="A157:A161"/>
    <mergeCell ref="A177:A181"/>
    <mergeCell ref="B177:B181"/>
    <mergeCell ref="C177:C181"/>
    <mergeCell ref="A182:A186"/>
    <mergeCell ref="B182:B186"/>
    <mergeCell ref="C182:C186"/>
    <mergeCell ref="A187:A191"/>
    <mergeCell ref="B187:B191"/>
    <mergeCell ref="C187:C191"/>
    <mergeCell ref="A192:A196"/>
    <mergeCell ref="B192:B196"/>
    <mergeCell ref="C192:C196"/>
    <mergeCell ref="A197:A201"/>
    <mergeCell ref="B197:B201"/>
    <mergeCell ref="C197:C201"/>
    <mergeCell ref="A202:A206"/>
    <mergeCell ref="B202:B206"/>
    <mergeCell ref="C202:C206"/>
    <mergeCell ref="A207:A211"/>
    <mergeCell ref="B207:B211"/>
    <mergeCell ref="C207:C211"/>
    <mergeCell ref="A212:A216"/>
    <mergeCell ref="B212:B216"/>
    <mergeCell ref="C212:C216"/>
    <mergeCell ref="A217:A221"/>
    <mergeCell ref="B217:B221"/>
    <mergeCell ref="C217:C221"/>
    <mergeCell ref="B222:B226"/>
    <mergeCell ref="C222:C226"/>
    <mergeCell ref="A222:A226"/>
    <mergeCell ref="A227:A231"/>
    <mergeCell ref="B227:B231"/>
    <mergeCell ref="C227:C231"/>
    <mergeCell ref="A232:A236"/>
    <mergeCell ref="B232:B236"/>
    <mergeCell ref="C232:C236"/>
    <mergeCell ref="A237:A241"/>
    <mergeCell ref="B237:B241"/>
    <mergeCell ref="C237:C241"/>
    <mergeCell ref="A242:A246"/>
    <mergeCell ref="B242:B246"/>
    <mergeCell ref="C242:C246"/>
    <mergeCell ref="A247:A251"/>
    <mergeCell ref="B247:B251"/>
    <mergeCell ref="C247:C251"/>
    <mergeCell ref="A252:A256"/>
    <mergeCell ref="B252:B256"/>
    <mergeCell ref="C252:C256"/>
    <mergeCell ref="A257:A261"/>
    <mergeCell ref="B257:B261"/>
    <mergeCell ref="C257:C261"/>
    <mergeCell ref="A262:A266"/>
    <mergeCell ref="B262:B266"/>
    <mergeCell ref="C262:C266"/>
    <mergeCell ref="A267:A272"/>
    <mergeCell ref="B267:B272"/>
    <mergeCell ref="C267:C272"/>
    <mergeCell ref="D267:D268"/>
    <mergeCell ref="E267:E268"/>
    <mergeCell ref="F267:F268"/>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3"/>
    <mergeCell ref="B318:B323"/>
    <mergeCell ref="C318:C323"/>
    <mergeCell ref="D319:D320"/>
    <mergeCell ref="E319:E320"/>
    <mergeCell ref="F319:F320"/>
    <mergeCell ref="A324:A328"/>
    <mergeCell ref="B324:B328"/>
    <mergeCell ref="C324:C328"/>
    <mergeCell ref="A329:A333"/>
    <mergeCell ref="B329:B333"/>
    <mergeCell ref="C329:C333"/>
    <mergeCell ref="A334:A338"/>
    <mergeCell ref="B334:B338"/>
    <mergeCell ref="C334:C338"/>
    <mergeCell ref="A339:A343"/>
    <mergeCell ref="B339:B343"/>
    <mergeCell ref="C339:C343"/>
    <mergeCell ref="A344:A348"/>
    <mergeCell ref="B344:B348"/>
    <mergeCell ref="C344:C348"/>
    <mergeCell ref="A349:A353"/>
    <mergeCell ref="B349:B353"/>
    <mergeCell ref="C349:C353"/>
    <mergeCell ref="A354:A358"/>
    <mergeCell ref="B354:B358"/>
    <mergeCell ref="C354:C358"/>
    <mergeCell ref="A359:A363"/>
    <mergeCell ref="B359:B363"/>
    <mergeCell ref="C359:C363"/>
    <mergeCell ref="A364:A368"/>
    <mergeCell ref="B364:B368"/>
    <mergeCell ref="C364:C368"/>
    <mergeCell ref="A369:A373"/>
    <mergeCell ref="B369:B373"/>
    <mergeCell ref="C369:C373"/>
    <mergeCell ref="A374:A378"/>
    <mergeCell ref="B374:B378"/>
    <mergeCell ref="C374:C378"/>
    <mergeCell ref="A379:A383"/>
    <mergeCell ref="B379:B383"/>
    <mergeCell ref="C379:C383"/>
    <mergeCell ref="A384:A388"/>
    <mergeCell ref="B384:B388"/>
    <mergeCell ref="C384:C388"/>
    <mergeCell ref="A389:A393"/>
    <mergeCell ref="B389:B393"/>
    <mergeCell ref="C389:C393"/>
    <mergeCell ref="A394:A398"/>
    <mergeCell ref="B394:B398"/>
    <mergeCell ref="C394:C398"/>
    <mergeCell ref="A399:A403"/>
    <mergeCell ref="B399:B403"/>
    <mergeCell ref="C399:C403"/>
    <mergeCell ref="A404:A408"/>
    <mergeCell ref="B404:B408"/>
    <mergeCell ref="C404:C408"/>
    <mergeCell ref="A409:A413"/>
    <mergeCell ref="B409:B413"/>
    <mergeCell ref="C409:C413"/>
    <mergeCell ref="A414:A418"/>
    <mergeCell ref="B414:B418"/>
    <mergeCell ref="C414:C418"/>
    <mergeCell ref="A419:A423"/>
    <mergeCell ref="B419:B423"/>
    <mergeCell ref="C419:C423"/>
    <mergeCell ref="A424:A428"/>
    <mergeCell ref="B424:B428"/>
    <mergeCell ref="C424:C428"/>
    <mergeCell ref="A429:A433"/>
    <mergeCell ref="B429:B433"/>
    <mergeCell ref="C429:C433"/>
    <mergeCell ref="A434:A438"/>
    <mergeCell ref="B434:B438"/>
    <mergeCell ref="C434:C438"/>
    <mergeCell ref="A439:A443"/>
    <mergeCell ref="B439:B443"/>
    <mergeCell ref="C439:C443"/>
    <mergeCell ref="A444:A448"/>
    <mergeCell ref="B444:B448"/>
    <mergeCell ref="C444:C448"/>
    <mergeCell ref="A449:A453"/>
    <mergeCell ref="B449:B453"/>
    <mergeCell ref="C449:C453"/>
    <mergeCell ref="A454:A458"/>
    <mergeCell ref="B454:B458"/>
    <mergeCell ref="C454:C458"/>
    <mergeCell ref="A459:A463"/>
    <mergeCell ref="B459:B463"/>
    <mergeCell ref="C459:C463"/>
    <mergeCell ref="A464:A468"/>
    <mergeCell ref="B464:B468"/>
    <mergeCell ref="C464:C468"/>
    <mergeCell ref="A469:A473"/>
    <mergeCell ref="B469:B473"/>
    <mergeCell ref="C469:C473"/>
    <mergeCell ref="A474:A478"/>
    <mergeCell ref="B474:B478"/>
    <mergeCell ref="C474:C478"/>
    <mergeCell ref="A479:A483"/>
    <mergeCell ref="B479:B483"/>
    <mergeCell ref="C479:C483"/>
    <mergeCell ref="A484:A488"/>
    <mergeCell ref="B484:B488"/>
    <mergeCell ref="C484:C488"/>
    <mergeCell ref="A489:A493"/>
    <mergeCell ref="B489:B493"/>
    <mergeCell ref="C489:C493"/>
    <mergeCell ref="A494:A498"/>
    <mergeCell ref="B494:B498"/>
    <mergeCell ref="C494:C498"/>
    <mergeCell ref="A499:A503"/>
    <mergeCell ref="B499:B503"/>
    <mergeCell ref="C499:C503"/>
    <mergeCell ref="A504:A508"/>
    <mergeCell ref="B504:B508"/>
    <mergeCell ref="C504:C508"/>
    <mergeCell ref="A509:A513"/>
    <mergeCell ref="B509:B513"/>
    <mergeCell ref="C509:C513"/>
    <mergeCell ref="A514:A519"/>
    <mergeCell ref="B514:B519"/>
    <mergeCell ref="C514:C519"/>
    <mergeCell ref="D514:D515"/>
    <mergeCell ref="E514:E515"/>
    <mergeCell ref="F514:F515"/>
    <mergeCell ref="A520:A524"/>
    <mergeCell ref="B520:B524"/>
    <mergeCell ref="C520:C524"/>
    <mergeCell ref="A525:A529"/>
    <mergeCell ref="B525:B529"/>
    <mergeCell ref="C525:C529"/>
    <mergeCell ref="A530:A534"/>
    <mergeCell ref="B530:B534"/>
    <mergeCell ref="C530:C534"/>
    <mergeCell ref="A535:A539"/>
    <mergeCell ref="B535:B539"/>
    <mergeCell ref="C535:C539"/>
    <mergeCell ref="A540:A544"/>
    <mergeCell ref="B540:B544"/>
    <mergeCell ref="C540:C544"/>
    <mergeCell ref="A545:A549"/>
    <mergeCell ref="B545:B549"/>
    <mergeCell ref="C545:C549"/>
    <mergeCell ref="A550:A554"/>
    <mergeCell ref="B550:B554"/>
    <mergeCell ref="C550:C554"/>
    <mergeCell ref="A555:A559"/>
    <mergeCell ref="B555:B559"/>
    <mergeCell ref="C555:C559"/>
    <mergeCell ref="D560:D561"/>
    <mergeCell ref="E560:E561"/>
    <mergeCell ref="F560:F561"/>
    <mergeCell ref="A567:A571"/>
    <mergeCell ref="B567:B571"/>
    <mergeCell ref="C567:C571"/>
    <mergeCell ref="A572:A576"/>
    <mergeCell ref="B572:B576"/>
    <mergeCell ref="C572:C576"/>
    <mergeCell ref="A577:A581"/>
    <mergeCell ref="B577:B581"/>
    <mergeCell ref="C577:C581"/>
    <mergeCell ref="A582:A586"/>
    <mergeCell ref="B582:B586"/>
    <mergeCell ref="C582:C586"/>
    <mergeCell ref="A587:A591"/>
    <mergeCell ref="B587:B591"/>
    <mergeCell ref="C587:C591"/>
    <mergeCell ref="A592:A596"/>
    <mergeCell ref="B592:B596"/>
    <mergeCell ref="C592:C596"/>
    <mergeCell ref="A597:A601"/>
    <mergeCell ref="B597:B601"/>
    <mergeCell ref="C597:C601"/>
    <mergeCell ref="A602:A606"/>
    <mergeCell ref="B602:B606"/>
    <mergeCell ref="C602:C606"/>
    <mergeCell ref="A560:A566"/>
    <mergeCell ref="B560:B566"/>
    <mergeCell ref="C560:C566"/>
    <mergeCell ref="D562:D563"/>
    <mergeCell ref="E562:E563"/>
    <mergeCell ref="F562:F563"/>
    <mergeCell ref="A607:A611"/>
    <mergeCell ref="B607:B611"/>
    <mergeCell ref="C607:C611"/>
    <mergeCell ref="A612:A616"/>
    <mergeCell ref="B612:B616"/>
    <mergeCell ref="C612:C616"/>
    <mergeCell ref="A617:A621"/>
    <mergeCell ref="C617:C621"/>
    <mergeCell ref="A622:A626"/>
    <mergeCell ref="B622:B626"/>
    <mergeCell ref="C622:C626"/>
    <mergeCell ref="A627:A631"/>
    <mergeCell ref="B627:B631"/>
    <mergeCell ref="C627:C631"/>
    <mergeCell ref="A632:A636"/>
    <mergeCell ref="B632:B636"/>
    <mergeCell ref="C632:C636"/>
    <mergeCell ref="A637:A641"/>
    <mergeCell ref="B637:B641"/>
    <mergeCell ref="C637:C641"/>
    <mergeCell ref="A642:A646"/>
    <mergeCell ref="B642:B646"/>
    <mergeCell ref="C642:C646"/>
    <mergeCell ref="A647:A651"/>
    <mergeCell ref="B647:B651"/>
    <mergeCell ref="C647:C651"/>
    <mergeCell ref="A652:A656"/>
    <mergeCell ref="B652:B656"/>
    <mergeCell ref="C652:C656"/>
    <mergeCell ref="E657:E658"/>
    <mergeCell ref="F657:F658"/>
    <mergeCell ref="D657:D658"/>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B617:B621"/>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B657:B662"/>
    <mergeCell ref="C657:C662"/>
    <mergeCell ref="A657:A662"/>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s>
  <conditionalFormatting sqref="F423 F428 F433 F438 F443 F448 F453 F458 F463 F468 F473 F478 F483 F488 F493 F498 F503 F508 F513 F519 F524 F529 F534 F539 F544 F549 F554 F559 F566 F571 F576 F581 F586 F591 F596 F601 F606 F611 F616 F621 F626 F631 F636 F641 F646 F651 F656 F662 F667 F672 F677 F682 F687 F692 F697 F702 F707 F712 F717 F722 F727 F732 F737 F742 F747 F752 F757 F762 F767 F772 F777 F782 F787 F792 F797 F802 F807 F812 F817 F822 F827 F832 F837 F842 F847 F852 F857 F862 F867 F872 F877 F882 F887 F892">
    <cfRule type="dataBar" priority="1">
      <dataBar minLength="0" maxLength="100" showValue="1">
        <cfvo type="num" val="0.01"/>
        <cfvo type="num" val="1"/>
        <color rgb="FF00B0F0"/>
      </dataBar>
      <extLst>
        <ext uri="{B025F937-C7B1-47D3-B67F-A62EFF666E3E}">
          <x14:id>{73FF3BD4-455B-47F8-962F-E3A7FDFFD098}</x14:id>
        </ext>
      </extLst>
    </cfRule>
  </conditionalFormatting>
  <conditionalFormatting sqref="F6 F11 F16 F21 F26 F31 F36 F41 F46 F51 F56 F61 F66 F71 F76 F81 F86 F91 F96 F101 F106 F111 F116 F121 F126 F131 F136 F141 F146 F151 F156 F161 F166 F171 F176 F181 F186 F191 F196 F201 F206 F211 F216 F221 F226 F231 F236 F241 F246 F251 F256 F261 F266 F272 F277 F282 F287 F292 F297 F302 F307 F312 F317 F323 F328 F333 F338 F343 F348 F353 F358 F363 F368 F373 F378 F383 F388 F393 F398 F403 F408 F413 F418 F488 F493 F498 F503 F508 F513 F519 F524 F529 F534 F539 F544 F549 F554 F559 F566 F571 F576 F581 F586 F591 F596 F601 F606 F611 F616 F621 F626 F631 F636 F641 F646 F651 F656 F662 F667 F672 F677 F682 F687 F692 F697 F702 F707 F712 F717 F722 F727 F732 F737 F742 F747 F752 F757 F762 F767 F772 F777 F782 F787 F792 F797 F802 F807 F812 F817 F822 F827 F832 F837 F842 F847 F852 F857 F862 F867 F872 F877 F882 F887 F892">
    <cfRule type="dataBar" priority="2">
      <dataBar minLength="0" maxLength="100" showValue="1">
        <cfvo type="num" val="0.01"/>
        <cfvo type="num" val="1"/>
        <color rgb="FF00B0F0"/>
      </dataBar>
      <extLst>
        <ext uri="{B025F937-C7B1-47D3-B67F-A62EFF666E3E}">
          <x14:id>{17921F2F-DED8-41EA-A2A1-0D27734DACB6}</x14:id>
        </ext>
      </extLst>
    </cfRule>
  </conditionalFormatting>
  <conditionalFormatting sqref="P1:P529 Q1 P535:P892">
    <cfRule type="containsText" dxfId="0" priority="3" operator="containsText" text="逾期">
      <formula>NOT(ISERROR(SEARCH("逾期",P1)))</formula>
    </cfRule>
  </conditionalFormatting>
  <conditionalFormatting sqref="P1:P529 Q1 P535:P892">
    <cfRule type="containsText" dxfId="1" priority="4" operator="containsText" text="正常">
      <formula>NOT(ISERROR(SEARCH("正常",P1)))</formula>
    </cfRule>
  </conditionalFormatting>
  <conditionalFormatting sqref="O1:O267 O269:O352 O354:O375 O379:O412 O414:O422 O424:O425 O429:O432 O434:O442 O444:O452 O454:O477 O479:O482 O484:O510 O514 O516:O529 O533 O535:O570 O572:O580 O582:O585 O587:O600 O602:O610 O612:O615 O617:O618 O622:O628 O632:O640 O642:O645 O647:O664 O668:O671 O673:O676 O678:O679 O683:O686 O688:O689 O693:O694 O698:O701 O703:O704 O708:O710 O713:O714 O718:O721 O723:O724 O728:O734 O738:O739 O743:O744 O748:O749 O753:O755 O758:O760 O763:O764 O768:O769 O773:O774 O778:O779 O783:O784 O788:O789 O793:O794 O798:O799 O803:O804 O808:O809 O813:O814 O818:O819 O823:O824 O828:O829 O833:O834 O838:O839 O843:O844 O848:O849 O853:O854 O858:O859 O863:O864 O868:O869 O873:O874 O878:O879 O883:O884 O888:O889">
    <cfRule type="cellIs" dxfId="2" priority="5" operator="greaterThan">
      <formula>0</formula>
    </cfRule>
  </conditionalFormatting>
  <dataValidations>
    <dataValidation type="list" errorStyle="stop" allowBlank="1" showDropDown="0" showInputMessage="1" showErrorMessage="1" prompt="" sqref="B2:B1048576">
      <formula1>"否,正常,"</formula1>
    </dataValidation>
  </dataValidations>
  <pageMargins left="0.7" right="0.7" top="0.75" bottom="0.75" header="0.3" footer="0.3"/>
  <extLst>
    <ext uri="{78C0D931-6437-407d-A8EE-F0AAD7539E65}">
      <x14:conditionalFormattings>
        <x14:conditionalFormatting>
          <x14:cfRule type="dataBar" id="{73FF3BD4-455B-47F8-962F-E3A7FDFFD098}">
            <x14:dataBar minLength="0" maxLength="100" showValue="1" gradient="0" direction="leftToRight" axisPosition="automatic">
              <x14:cfvo type="num">
                <xm:f>0.01</xm:f>
              </x14:cfvo>
              <x14:cfvo type="num">
                <xm:f>1</xm:f>
              </x14:cfvo>
              <x14:negativeFillColor rgb="FFFFFFFF"/>
            </x14:dataBar>
          </x14:cfRule>
          <xm:sqref>F423 F428 F433 F438 F443 F448 F453 F458 F463 F468 F473 F478 F483 F488 F493 F498 F503 F508 F513 F519 F524 F529 F534 F539 F544 F549 F554 F559 F566 F571 F576 F581 F586 F591 F596 F601 F606 F611 F616 F621 F626 F631 F636 F641 F646 F651 F656 F662 F667 F672 F677 F682 F687 F692 F697 F702 F707 F712 F717 F722 F727 F732 F737 F742 F747 F752 F757 F762 F767 F772 F777 F782 F787 F792 F797 F802 F807 F812 F817 F822 F827 F832 F837 F842 F847 F852 F857 F862 F867 F872 F877 F882 F887 F892</xm:sqref>
        </x14:conditionalFormatting>
        <x14:conditionalFormatting>
          <x14:cfRule type="dataBar" id="{17921F2F-DED8-41EA-A2A1-0D27734DACB6}">
            <x14:dataBar minLength="0" maxLength="100" showValue="1" gradient="0" direction="leftToRight" axisPosition="automatic">
              <x14:cfvo type="num">
                <xm:f>0.01</xm:f>
              </x14:cfvo>
              <x14:cfvo type="num">
                <xm:f>1</xm:f>
              </x14:cfvo>
              <x14:negativeFillColor rgb="FFFFFFFF"/>
            </x14:dataBar>
          </x14:cfRule>
          <xm:sqref>F6 F11 F16 F21 F26 F31 F36 F41 F46 F51 F56 F61 F66 F71 F76 F81 F86 F91 F96 F101 F106 F111 F116 F121 F126 F131 F136 F141 F146 F151 F156 F161 F166 F171 F176 F181 F186 F191 F196 F201 F206 F211 F216 F221 F226 F231 F236 F241 F246 F251 F256 F261 F266 F272 F277 F282 F287 F292 F297 F302 F307 F312 F317 F323 F328 F333 F338 F343 F348 F353 F358 F363 F368 F373 F378 F383 F388 F393 F398 F403 F408 F413 F418 F488 F493 F498 F503 F508 F513 F519 F524 F529 F534 F539 F544 F549 F554 F559 F566 F571 F576 F581 F586 F591 F596 F601 F606 F611 F616 F621 F626 F631 F636 F641 F646 F651 F656 F662 F667 F672 F677 F682 F687 F692 F697 F702 F707 F712 F717 F722 F727 F732 F737 F742 F747 F752 F757 F762 F767 F772 F777 F782 F787 F792 F797 F802 F807 F812 F817 F822 F827 F832 F837 F842 F847 F852 F857 F862 F867 F872 F877 F882 F887 F892</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2026-05-08T13:22:42Z</dcterms:created>
  <dcterms:modified xsi:type="dcterms:W3CDTF">2026-05-08T13:22:42Z</dcterms:modified>
</cp:coreProperties>
</file>